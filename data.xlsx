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10455"/>
  </bookViews>
  <sheets>
    <sheet name="data" sheetId="1" r:id="rId1"/>
  </sheets>
  <definedNames>
    <definedName name="_xlnm._FilterDatabase" localSheetId="0" hidden="1">data!$A$1:$P$1169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<sst xmlns="http://schemas.openxmlformats.org/spreadsheetml/2006/main" count="10645" uniqueCount="940">
  <si>
    <t>PMID/Title</t>
  </si>
  <si>
    <t>Author</t>
  </si>
  <si>
    <t>Year</t>
  </si>
  <si>
    <t>Virus</t>
  </si>
  <si>
    <t>HostSpecies</t>
  </si>
  <si>
    <t>Detection_method</t>
  </si>
  <si>
    <t>Positive_sample_number</t>
  </si>
  <si>
    <t>Total_sample_number</t>
  </si>
  <si>
    <t>Positivity</t>
  </si>
  <si>
    <t>VirusOrder</t>
  </si>
  <si>
    <t>VirusFamily</t>
  </si>
  <si>
    <t>VirusSpecies</t>
  </si>
  <si>
    <t>Country</t>
  </si>
  <si>
    <t>Continents</t>
  </si>
  <si>
    <t>Mitchell MA et al.</t>
  </si>
  <si>
    <t>varicellovirus suidalpha1</t>
  </si>
  <si>
    <t>Procyon lotor</t>
  </si>
  <si>
    <t>Neutralization Test</t>
  </si>
  <si>
    <t>Herpesvirales</t>
  </si>
  <si>
    <t>orthoherpesviridae</t>
  </si>
  <si>
    <t>UNITED STATES</t>
  </si>
  <si>
    <t>North America</t>
  </si>
  <si>
    <t>morbillivirus canis</t>
  </si>
  <si>
    <t>Mononegavirales</t>
  </si>
  <si>
    <t>paramyxoviridae</t>
  </si>
  <si>
    <t>Ikeda Y et al.</t>
  </si>
  <si>
    <t>varicellovirus felidalpha1</t>
  </si>
  <si>
    <t>Paguma larvata</t>
  </si>
  <si>
    <t>ELISA</t>
  </si>
  <si>
    <t>CHINA</t>
  </si>
  <si>
    <t>Asia</t>
  </si>
  <si>
    <t>feline immunodeficiency virus</t>
  </si>
  <si>
    <t>Ortervirales</t>
  </si>
  <si>
    <t>retroviridae</t>
  </si>
  <si>
    <t>feline calicivirus</t>
  </si>
  <si>
    <t>Picornavirales</t>
  </si>
  <si>
    <t>caliciviridae</t>
  </si>
  <si>
    <t>feline parvovirus</t>
  </si>
  <si>
    <t>Piccovirales</t>
  </si>
  <si>
    <t>parvoviridae</t>
  </si>
  <si>
    <t>Hamir AN et al.</t>
  </si>
  <si>
    <t>FAT</t>
  </si>
  <si>
    <t>unidentified adenovirus</t>
  </si>
  <si>
    <t>Rowavirales</t>
  </si>
  <si>
    <t>adenoviridae</t>
  </si>
  <si>
    <t>lyssavirus rabies</t>
  </si>
  <si>
    <t>rhabdoviridae</t>
  </si>
  <si>
    <t>Frölich K et al.</t>
  </si>
  <si>
    <t>Nyctereutes procyonoides</t>
  </si>
  <si>
    <t>GERMANY</t>
  </si>
  <si>
    <t>Europe</t>
  </si>
  <si>
    <t>Vulpes vulpes</t>
  </si>
  <si>
    <t>Wurm R et al.</t>
  </si>
  <si>
    <t>orthoflavivirus encephalitidis</t>
  </si>
  <si>
    <t>Other Serological Tests</t>
  </si>
  <si>
    <t>Amarillovirales</t>
  </si>
  <si>
    <t>flaviviridae</t>
  </si>
  <si>
    <t>orthoflavivirus nilense</t>
  </si>
  <si>
    <t>Escutenaire S et al.</t>
  </si>
  <si>
    <t>orthohantavirus puumalaense</t>
  </si>
  <si>
    <t>Bunyavirales</t>
  </si>
  <si>
    <t>hantaviridae</t>
  </si>
  <si>
    <t>BELGIUM</t>
  </si>
  <si>
    <t>orthohantavirus seoulense</t>
  </si>
  <si>
    <t>molecular biological techniques</t>
  </si>
  <si>
    <t>orthohantavirus dobravaense</t>
  </si>
  <si>
    <t>orthohantavirus hantanense</t>
  </si>
  <si>
    <t>Ohashi K et al.</t>
  </si>
  <si>
    <t>JAPAN</t>
  </si>
  <si>
    <t>Dauphin G et al.</t>
  </si>
  <si>
    <t>FRANCE</t>
  </si>
  <si>
    <t>borna disease virus</t>
  </si>
  <si>
    <t>bornaviridae</t>
  </si>
  <si>
    <t>Pozio E et al.</t>
  </si>
  <si>
    <t>Martella V et al.</t>
  </si>
  <si>
    <t>ITALY</t>
  </si>
  <si>
    <t>Vicente J et al.</t>
  </si>
  <si>
    <t>Sus scrofa</t>
  </si>
  <si>
    <t>SPAIN</t>
  </si>
  <si>
    <t>betaarterivirus suid 2</t>
  </si>
  <si>
    <t>Nidovirales</t>
  </si>
  <si>
    <t>arteriviridae</t>
  </si>
  <si>
    <t>protoparvovirus ungulate1</t>
  </si>
  <si>
    <t>pestivirus suis</t>
  </si>
  <si>
    <t>swine influenza virus</t>
  </si>
  <si>
    <t>Articulavirales</t>
  </si>
  <si>
    <t>orthomyxoviridae</t>
  </si>
  <si>
    <t>Gresham CS et al.</t>
  </si>
  <si>
    <t>Gortázar C et al.</t>
  </si>
  <si>
    <t>Damien BC et al.</t>
  </si>
  <si>
    <t>LUXEMBOURG</t>
  </si>
  <si>
    <t>Machida N et al.</t>
  </si>
  <si>
    <t>Ellis J et al.</t>
  </si>
  <si>
    <t>circovirus porcine2</t>
  </si>
  <si>
    <t>Cirlivirales</t>
  </si>
  <si>
    <t>circoviridae</t>
  </si>
  <si>
    <t>CANADA</t>
  </si>
  <si>
    <t>12例貉腹泻病原检测与分析</t>
  </si>
  <si>
    <t>Zhuo et al.</t>
  </si>
  <si>
    <t>raccoon dog parvovirus</t>
  </si>
  <si>
    <t>Martin HD et al.</t>
  </si>
  <si>
    <t>histopathological examinations</t>
  </si>
  <si>
    <t>Vanaga S et al.</t>
  </si>
  <si>
    <t>LATVIA</t>
  </si>
  <si>
    <t>Romero CH et al.</t>
  </si>
  <si>
    <t>Elbers AR et al.</t>
  </si>
  <si>
    <t>foot-and-mouth disease virus</t>
  </si>
  <si>
    <t>picornaviridae</t>
  </si>
  <si>
    <t>NETHERLANDS</t>
  </si>
  <si>
    <t>Davidson WR et al.</t>
  </si>
  <si>
    <t>canine mastadenovirus a</t>
  </si>
  <si>
    <t>varicellovirus canidalpha1</t>
  </si>
  <si>
    <t>alphacoronavirus 1</t>
  </si>
  <si>
    <t>coronaviridae</t>
  </si>
  <si>
    <t>canine parainfluenza virus</t>
  </si>
  <si>
    <t>protoparvovirus carnivoran1</t>
  </si>
  <si>
    <t>Hill RE Jr et al.</t>
  </si>
  <si>
    <t>Corn JL et al.</t>
  </si>
  <si>
    <t>Hable CP et al.</t>
  </si>
  <si>
    <t>raccoonpox virus</t>
  </si>
  <si>
    <t>Chitovirales</t>
  </si>
  <si>
    <t>poxviridae</t>
  </si>
  <si>
    <t>Lednicky JA et al.</t>
  </si>
  <si>
    <t>Takahashi K et al.</t>
  </si>
  <si>
    <t>hepatitis e virus</t>
  </si>
  <si>
    <t>Hepelivirales</t>
  </si>
  <si>
    <t>hepeviridae</t>
  </si>
  <si>
    <t>Hirama K et al.</t>
  </si>
  <si>
    <t>microbiological cultures</t>
  </si>
  <si>
    <t>Parkes JP et al.</t>
  </si>
  <si>
    <t>rabbit hemorrhagic disease virus</t>
  </si>
  <si>
    <t>Erinaceus europaeus</t>
  </si>
  <si>
    <t>picornavirales</t>
  </si>
  <si>
    <t>New Zealand</t>
  </si>
  <si>
    <t>Oceania</t>
  </si>
  <si>
    <t>van der Poel WH et al.</t>
  </si>
  <si>
    <t>Fr?lich K et al.</t>
  </si>
  <si>
    <t>HI</t>
  </si>
  <si>
    <t>Hu W et al.</t>
  </si>
  <si>
    <t>severe acute respiratory syndrome-related coronavirus</t>
  </si>
  <si>
    <t>Mintiens K et al.</t>
  </si>
  <si>
    <t>Rector A et al.</t>
  </si>
  <si>
    <t>lambdapapillomavirus 4</t>
  </si>
  <si>
    <t>Zurhausenvirales</t>
  </si>
  <si>
    <t>papillomaviridae</t>
  </si>
  <si>
    <t>Robinson AJ et al.</t>
  </si>
  <si>
    <t>AUSTRALIA</t>
  </si>
  <si>
    <t>Nyberg M et al.</t>
  </si>
  <si>
    <t>FINLAND</t>
  </si>
  <si>
    <t>Ishiguro N et al.</t>
  </si>
  <si>
    <t>Kim JH et al.</t>
  </si>
  <si>
    <t>KOREA, REPUBLIC OF</t>
  </si>
  <si>
    <t>Knell S et al.</t>
  </si>
  <si>
    <t>Ruiz-Fons F et al.</t>
  </si>
  <si>
    <t>Kan B et al.</t>
  </si>
  <si>
    <t>Dietrich G et al.</t>
  </si>
  <si>
    <t>Nishizawa T et al.</t>
  </si>
  <si>
    <t>Bonilauri P et al.</t>
  </si>
  <si>
    <t>Bischof R et al.</t>
  </si>
  <si>
    <t>Roi? B et al.</t>
  </si>
  <si>
    <t>CROATIA</t>
  </si>
  <si>
    <t>Vengust G et al.</t>
  </si>
  <si>
    <t>SLOVENIA</t>
  </si>
  <si>
    <t>enterovirus b</t>
  </si>
  <si>
    <t>Debbie JG et al.</t>
  </si>
  <si>
    <t>Laakkonen J et al.</t>
  </si>
  <si>
    <t>cowpox virus</t>
  </si>
  <si>
    <t>Sorex araneus</t>
  </si>
  <si>
    <t>chitovirales</t>
  </si>
  <si>
    <t>Finland</t>
  </si>
  <si>
    <t>Martínez L et al.</t>
  </si>
  <si>
    <t>torque teno virus</t>
  </si>
  <si>
    <t>NA</t>
  </si>
  <si>
    <t>anelloviridae</t>
  </si>
  <si>
    <t>Gibbs SE et al.</t>
  </si>
  <si>
    <t>Hamano M et al.</t>
  </si>
  <si>
    <t>orthoflavivirus japonicum</t>
  </si>
  <si>
    <t>Cranfield MR et al.</t>
  </si>
  <si>
    <t>Prins L et al.</t>
  </si>
  <si>
    <t>Prins B et al.</t>
  </si>
  <si>
    <t>Smith KE et al.</t>
  </si>
  <si>
    <t>cardiovirus a</t>
  </si>
  <si>
    <t>Junge RE et al.</t>
  </si>
  <si>
    <t>Roic B et al.</t>
  </si>
  <si>
    <t>pestivirus ovis</t>
  </si>
  <si>
    <t>pestivirus bovis</t>
  </si>
  <si>
    <t>Stoffregen DA et al.</t>
  </si>
  <si>
    <t>Sobrino R et al.</t>
  </si>
  <si>
    <t>Martelli F et al.</t>
  </si>
  <si>
    <t>Lipej Z et al.</t>
  </si>
  <si>
    <t>Nidaira M et al.</t>
  </si>
  <si>
    <t>Kaci S et al.</t>
  </si>
  <si>
    <t>de Deus N et al.</t>
  </si>
  <si>
    <t>Kim SY et al.</t>
  </si>
  <si>
    <t>Hall JS et al.</t>
  </si>
  <si>
    <t>alphainfluenzavirus influenzae</t>
  </si>
  <si>
    <t>Kaden V et al.</t>
  </si>
  <si>
    <t>Pol F et al.</t>
  </si>
  <si>
    <t>Sedlak K et al.</t>
  </si>
  <si>
    <t>CZECH REPUBLIC</t>
  </si>
  <si>
    <t>Takayama I et al.</t>
  </si>
  <si>
    <t>McLAUCHLAN JD et al.</t>
  </si>
  <si>
    <t>UK</t>
  </si>
  <si>
    <t>Sofia M et al.</t>
  </si>
  <si>
    <t>GREECE</t>
  </si>
  <si>
    <t>circovirus porcine1</t>
  </si>
  <si>
    <t>Boulanger JR et al.</t>
  </si>
  <si>
    <t>Hinten SR et al.</t>
  </si>
  <si>
    <t>orthoflavivirus powassanense</t>
  </si>
  <si>
    <t>De Benedictis P et al.</t>
  </si>
  <si>
    <t>Reiner G et al.</t>
  </si>
  <si>
    <t>Sakano C et al.</t>
  </si>
  <si>
    <t>Santos N et al.</t>
  </si>
  <si>
    <t>PORTUGAL</t>
  </si>
  <si>
    <t>Rutjes SA et al.</t>
  </si>
  <si>
    <t>Qi X et al.</t>
  </si>
  <si>
    <t>Billinis C et al.</t>
  </si>
  <si>
    <t>Raizman EA et al.</t>
  </si>
  <si>
    <t>Schielke A et al.</t>
  </si>
  <si>
    <t>Müller T et al.</t>
  </si>
  <si>
    <t>Adlhoch C et al.</t>
  </si>
  <si>
    <t>Hagiwara K et al.</t>
  </si>
  <si>
    <t>Ohno Y et al.</t>
  </si>
  <si>
    <t>Lei YL et al.</t>
  </si>
  <si>
    <t>Kaba M et al.</t>
  </si>
  <si>
    <t>Almberg ES et al.</t>
  </si>
  <si>
    <t>Roberts NM et al.</t>
  </si>
  <si>
    <t>Blitvich BJ et al.</t>
  </si>
  <si>
    <t>orthoflavivirus louisense</t>
  </si>
  <si>
    <t>Kang HJ et al.</t>
  </si>
  <si>
    <t>seewis orhtohantavirus</t>
  </si>
  <si>
    <t>bunyavirales</t>
  </si>
  <si>
    <t>mix</t>
  </si>
  <si>
    <t>1例特种野猪2型猪圆环病毒病的诊断及防控</t>
  </si>
  <si>
    <t>Zhang et al.</t>
  </si>
  <si>
    <t>1只秦岭地区野外捕获野猪重要猪源病毒的检测及PCV2分离株基因序列分析</t>
  </si>
  <si>
    <t>Li et al.</t>
  </si>
  <si>
    <t>Kapil S et al.</t>
  </si>
  <si>
    <t>Nakano H et al.</t>
  </si>
  <si>
    <t>2006—2007年我国水貂、狐和貉主要疾病发生和流行情况调查与分析</t>
  </si>
  <si>
    <t>Luo et al.</t>
  </si>
  <si>
    <t>Montagnaro S et al.</t>
  </si>
  <si>
    <t>Thompson H et al.</t>
  </si>
  <si>
    <t>UNITED KINGDOM</t>
  </si>
  <si>
    <t>Puorger ME et al.</t>
  </si>
  <si>
    <t>mononegavirales</t>
  </si>
  <si>
    <t>Switzerland</t>
  </si>
  <si>
    <t>2019年国内部分地区狐、貉、果子狸狐脑炎中和抗体检测报告</t>
  </si>
  <si>
    <t>2019年内蒙古大兴安岭林区非洲猪瘟病原学检测及防控措施</t>
  </si>
  <si>
    <t>african swine fever virus</t>
  </si>
  <si>
    <t>Asfuvirales</t>
  </si>
  <si>
    <t>asfarviridae</t>
  </si>
  <si>
    <t>Root JJ et al.</t>
  </si>
  <si>
    <t>Yashina LN et al.</t>
  </si>
  <si>
    <t>Russia</t>
  </si>
  <si>
    <t>Jardine C et al.</t>
  </si>
  <si>
    <t>Shao XQ et al.</t>
  </si>
  <si>
    <t>Widén F et al.</t>
  </si>
  <si>
    <t>SWEDEN</t>
  </si>
  <si>
    <t>Meli ML et al.</t>
  </si>
  <si>
    <t>Zhang CF et al.</t>
  </si>
  <si>
    <t>porcine parvovirus</t>
  </si>
  <si>
    <t>Protoparvovirus ungulate1</t>
  </si>
  <si>
    <t>tetraparvovirus ungulate2</t>
  </si>
  <si>
    <t>Akerstedt J et al.</t>
  </si>
  <si>
    <t>NORWAY</t>
  </si>
  <si>
    <t>Srithayakumar V et al.</t>
  </si>
  <si>
    <t>Cadar D et al.</t>
  </si>
  <si>
    <t>ROMANIA</t>
  </si>
  <si>
    <t>Takahashi M et al.</t>
  </si>
  <si>
    <t>Han JI et al.</t>
  </si>
  <si>
    <t>Yousey-Hindes K et al.</t>
  </si>
  <si>
    <t>Pannwitz G et al.</t>
  </si>
  <si>
    <t>Turcitu MA et al.</t>
  </si>
  <si>
    <t>Horimoto T et al.</t>
  </si>
  <si>
    <t>Sato Y et al.</t>
  </si>
  <si>
    <t>Szanto AG et al.</t>
  </si>
  <si>
    <t>rotavirus a</t>
  </si>
  <si>
    <t>Reovirales</t>
  </si>
  <si>
    <t>sedoreoviridae</t>
  </si>
  <si>
    <t>Baker SR et al.</t>
  </si>
  <si>
    <t>Abe M et al.</t>
  </si>
  <si>
    <t>Woods RD et al.</t>
  </si>
  <si>
    <t>Wu J et al.</t>
  </si>
  <si>
    <t>Mahmoud HY et al.</t>
  </si>
  <si>
    <t>bocaparvovirus ungulate2</t>
  </si>
  <si>
    <t>Kameo Y et al.</t>
  </si>
  <si>
    <t>Nikolin VM et al.</t>
  </si>
  <si>
    <t>Boadella M et al.</t>
  </si>
  <si>
    <t>Wu N et al.</t>
  </si>
  <si>
    <t>SWITZERLAND</t>
  </si>
  <si>
    <t>Chen XY et al.</t>
  </si>
  <si>
    <t>Vittecoq M et al.</t>
  </si>
  <si>
    <t>Vasickova P et al.</t>
  </si>
  <si>
    <t>Nagao Y et al.</t>
  </si>
  <si>
    <t>Hammer R et al.</t>
  </si>
  <si>
    <t>Mur L et al.</t>
  </si>
  <si>
    <t>Steinrigl A et al.</t>
  </si>
  <si>
    <t>Sattler T et al.</t>
  </si>
  <si>
    <t>Boros A et al.</t>
  </si>
  <si>
    <t>porcine enterovirus</t>
  </si>
  <si>
    <t>HUNGARY</t>
  </si>
  <si>
    <t>Kirandjiski T et al.</t>
  </si>
  <si>
    <t>MACEDONIA,THE FORMER YUGOSLAV REPUBLIC OF</t>
  </si>
  <si>
    <t>Oh SY et al.</t>
  </si>
  <si>
    <t>Schlegel M et al.</t>
  </si>
  <si>
    <t>orthohantavirus seewisense</t>
  </si>
  <si>
    <t>Sandfoss MR et al.</t>
  </si>
  <si>
    <t>Smith JS et al.</t>
  </si>
  <si>
    <t>Hälli O et al.</t>
  </si>
  <si>
    <t>Boros á et al.</t>
  </si>
  <si>
    <t>teschovirus a</t>
  </si>
  <si>
    <t>Prodělalová J et al.</t>
  </si>
  <si>
    <t>enterovirus g</t>
  </si>
  <si>
    <t>Gutiérrez-Guzmán AV et al.</t>
  </si>
  <si>
    <t>Cha SY et al.</t>
  </si>
  <si>
    <t>Carpentier A et al.</t>
  </si>
  <si>
    <t>Fabisiak M et al.</t>
  </si>
  <si>
    <t>POLAND</t>
  </si>
  <si>
    <t>Seo Sw et al.</t>
  </si>
  <si>
    <t>Reuter G et al.</t>
  </si>
  <si>
    <t>mamastrovirus 3</t>
  </si>
  <si>
    <t>Stellavirales</t>
  </si>
  <si>
    <t>astroviridae</t>
  </si>
  <si>
    <t>Lee MH et al.</t>
  </si>
  <si>
    <t>porcine epidemic diarrhea virus</t>
  </si>
  <si>
    <t>Denzin N et al.</t>
  </si>
  <si>
    <t>Fernández-Sirera L et al.</t>
  </si>
  <si>
    <t>ANDORRAN</t>
  </si>
  <si>
    <t>Wiratsudakul A et al.</t>
  </si>
  <si>
    <t>THAILAND</t>
  </si>
  <si>
    <t>Novosel D et al.</t>
  </si>
  <si>
    <t>torque teno sus virus 1b</t>
  </si>
  <si>
    <t>iotatorquevirus suida1a</t>
  </si>
  <si>
    <t>Balboni A et al.</t>
  </si>
  <si>
    <t>Wasniewski M et al.</t>
  </si>
  <si>
    <t>Cano-Gómez C et al.</t>
  </si>
  <si>
    <t>sapelovirus a</t>
  </si>
  <si>
    <t>Choi EJ et al.</t>
  </si>
  <si>
    <t>Anthony JA et al.</t>
  </si>
  <si>
    <t>Farid AH et al.</t>
  </si>
  <si>
    <t>amdoparvovirus carnivoran1</t>
  </si>
  <si>
    <t>Duarte MD et al.</t>
  </si>
  <si>
    <t>Guo L et al.</t>
  </si>
  <si>
    <t>Luo J et al.</t>
  </si>
  <si>
    <t>Bodewes R et al.</t>
  </si>
  <si>
    <t>protoparvovirus carnivoran4</t>
  </si>
  <si>
    <t>Okano H et al.</t>
  </si>
  <si>
    <t>Paes Rde C et al.</t>
  </si>
  <si>
    <t>BRAZIL</t>
  </si>
  <si>
    <t>South America</t>
  </si>
  <si>
    <t>Gu SH et al.</t>
  </si>
  <si>
    <t>Poland</t>
  </si>
  <si>
    <t>boginia virus</t>
  </si>
  <si>
    <t>Nakano T et al.</t>
  </si>
  <si>
    <t>Pedersen K et al.</t>
  </si>
  <si>
    <t>Alexandrov T et al.</t>
  </si>
  <si>
    <t>BULGARIA</t>
  </si>
  <si>
    <t>Martinelli N et al.</t>
  </si>
  <si>
    <t>Simon G et al.</t>
  </si>
  <si>
    <t>Resman K et al.</t>
  </si>
  <si>
    <t>Slovenia</t>
  </si>
  <si>
    <t>Okadera K et al.</t>
  </si>
  <si>
    <t>Corman VM et al.</t>
  </si>
  <si>
    <t>betacoronavirus erinaceus</t>
  </si>
  <si>
    <t>nidovirales</t>
  </si>
  <si>
    <t>Germany</t>
  </si>
  <si>
    <t>Musante AR et al.</t>
  </si>
  <si>
    <t>Risco D et al.</t>
  </si>
  <si>
    <t>Foni E et al.</t>
  </si>
  <si>
    <t>Biondo N et al.</t>
  </si>
  <si>
    <t>Bourg M et al.</t>
  </si>
  <si>
    <t>Di Martino B et al.</t>
  </si>
  <si>
    <t>canine norovirus</t>
  </si>
  <si>
    <t>An DJ et al.</t>
  </si>
  <si>
    <t>Burri C et al.</t>
  </si>
  <si>
    <t>Hara Y et al.</t>
  </si>
  <si>
    <t>Clothier KA et al.</t>
  </si>
  <si>
    <t>Aenishaenslin C et al.</t>
  </si>
  <si>
    <t>Dürrwald R et al.</t>
  </si>
  <si>
    <t>Verin R et al.</t>
  </si>
  <si>
    <t>Oem JK et al.</t>
  </si>
  <si>
    <t>Yamaguchi E et al.</t>
  </si>
  <si>
    <t>Díez-Delgado I et al.</t>
  </si>
  <si>
    <t>Ling J et al.</t>
  </si>
  <si>
    <t>altai-like virus</t>
  </si>
  <si>
    <t>Balling A et al.</t>
  </si>
  <si>
    <t>Techangamsuwan S et al.</t>
  </si>
  <si>
    <t>Rentería-Solís Z et al.</t>
  </si>
  <si>
    <t>Liu Y et al.</t>
  </si>
  <si>
    <t>Caruso C et al.</t>
  </si>
  <si>
    <t>Oliveira-Filho EF et al.</t>
  </si>
  <si>
    <t>Cho YY et al.</t>
  </si>
  <si>
    <t>Stephenson RJ et al.</t>
  </si>
  <si>
    <t>amdoparvovirus carnivoran3</t>
  </si>
  <si>
    <t>mobatvirus novaense</t>
  </si>
  <si>
    <t>Bhide K et al.</t>
  </si>
  <si>
    <t>SLOVAKIA</t>
  </si>
  <si>
    <t>Pirtle EC et al.</t>
  </si>
  <si>
    <t>Kukielka D et al.</t>
  </si>
  <si>
    <t>Pejsak Z et al.</t>
  </si>
  <si>
    <t>Nituch LA et al.</t>
  </si>
  <si>
    <t>Baroch JA et al.</t>
  </si>
  <si>
    <t>Escribano-Romero E et al.</t>
  </si>
  <si>
    <t>SERBIA</t>
  </si>
  <si>
    <t>Marinou KA et al.</t>
  </si>
  <si>
    <t>Mengual-Chuliá B et al.</t>
  </si>
  <si>
    <t>treisetapapillomavirus 1</t>
  </si>
  <si>
    <t>Jeoung HY et al.</t>
  </si>
  <si>
    <t>Sliz I et al.</t>
  </si>
  <si>
    <t>tetraparvovirus ungulate3</t>
  </si>
  <si>
    <t>Kamps AJ et al.</t>
  </si>
  <si>
    <t>Serracca L et al.</t>
  </si>
  <si>
    <t>Suzuki J et al.</t>
  </si>
  <si>
    <t>Lhomme S et al.</t>
  </si>
  <si>
    <t>Ivanova A et al.</t>
  </si>
  <si>
    <t>ESTONIA</t>
  </si>
  <si>
    <t>Kim YK et al.</t>
  </si>
  <si>
    <t>Mazzei M et al.</t>
  </si>
  <si>
    <t>Motoya T et al.</t>
  </si>
  <si>
    <t>McGregor GF et al.</t>
  </si>
  <si>
    <t>Cheng Y et al.</t>
  </si>
  <si>
    <t>Adelshin RV et al.</t>
  </si>
  <si>
    <t>RUSSIAN FEDERATION</t>
  </si>
  <si>
    <t>Xia J et al.</t>
  </si>
  <si>
    <t>Li Z et al.</t>
  </si>
  <si>
    <t>mammalian orthoreovirus</t>
  </si>
  <si>
    <t>spinareoviridae</t>
  </si>
  <si>
    <t>Schlosser J et al.</t>
  </si>
  <si>
    <t>Chiari M et al.</t>
  </si>
  <si>
    <t>Touloudi A et al.</t>
  </si>
  <si>
    <t>González-Barrio D et al.</t>
  </si>
  <si>
    <t>Wo?niakowski G et al.</t>
  </si>
  <si>
    <t>Thiry D et al.</t>
  </si>
  <si>
    <t>Meier RK et al.</t>
  </si>
  <si>
    <t>J??skel?inen A et al.</t>
  </si>
  <si>
    <t>amarillovirales</t>
  </si>
  <si>
    <t>Drexler JF et al.</t>
  </si>
  <si>
    <t>hepatovirus a</t>
  </si>
  <si>
    <t>Goller KV et al.</t>
  </si>
  <si>
    <t>Miranda C et al.</t>
  </si>
  <si>
    <t>Wei YR et al.</t>
  </si>
  <si>
    <t>Cai Y et al.</t>
  </si>
  <si>
    <t>Žele D et al.</t>
  </si>
  <si>
    <t>Rodríguez-Prieto V et al.</t>
  </si>
  <si>
    <t>Church ME et al.</t>
  </si>
  <si>
    <t>alphapolyomavirus procyonis</t>
  </si>
  <si>
    <t>Sepolyvirales</t>
  </si>
  <si>
    <t>polyomaviridae</t>
  </si>
  <si>
    <t>Saubusse T et al.</t>
  </si>
  <si>
    <t>Liu H et al.</t>
  </si>
  <si>
    <t>Zhang W et al.</t>
  </si>
  <si>
    <t>porcine bocavirus</t>
  </si>
  <si>
    <t>Walker D et al.</t>
  </si>
  <si>
    <t>bandavirus dabieense</t>
  </si>
  <si>
    <t>phenuiviridae</t>
  </si>
  <si>
    <t>China</t>
  </si>
  <si>
    <t>Cao S et al.</t>
  </si>
  <si>
    <t>Oh SS et al.</t>
  </si>
  <si>
    <t>Roelandt S et al.</t>
  </si>
  <si>
    <t>orthoflavivirus denguei</t>
  </si>
  <si>
    <t>orthoflavivirus flavi</t>
  </si>
  <si>
    <t>orthoflavivirus usutuense</t>
  </si>
  <si>
    <t>orthoflavivirus loupingi</t>
  </si>
  <si>
    <t>Tsoleridis T et al.</t>
  </si>
  <si>
    <t>shrew coronavirus</t>
  </si>
  <si>
    <t>Gaskamp JA et al.</t>
  </si>
  <si>
    <t>Dalziel AE et al.</t>
  </si>
  <si>
    <t>Elnekave E et al.</t>
  </si>
  <si>
    <t>ISRAEL</t>
  </si>
  <si>
    <t>Śmietanka K et al.</t>
  </si>
  <si>
    <t>Milicevic V et al.</t>
  </si>
  <si>
    <t>Di Profio F et al.</t>
  </si>
  <si>
    <t>Pavio N et al.</t>
  </si>
  <si>
    <t>Frimmel S et al.</t>
  </si>
  <si>
    <t>Lee DU et al.</t>
  </si>
  <si>
    <t>Jori F et al.</t>
  </si>
  <si>
    <t>orthobornavirus bornaense</t>
  </si>
  <si>
    <t>Moutelíková R et al.</t>
  </si>
  <si>
    <t>rotavirus c</t>
  </si>
  <si>
    <t>betacoronavirus 1</t>
  </si>
  <si>
    <t>Stankevicius A et al.</t>
  </si>
  <si>
    <t>LITHUANIA</t>
  </si>
  <si>
    <t>Roth A et al.</t>
  </si>
  <si>
    <t>Yonemitsu K et al.</t>
  </si>
  <si>
    <t>PCR</t>
  </si>
  <si>
    <t>Dorn-In S et al.</t>
  </si>
  <si>
    <t>Anheyer-Behmenburg HE et al.</t>
  </si>
  <si>
    <t>Shimoda H et al.</t>
  </si>
  <si>
    <t>Giovannini A et al.</t>
  </si>
  <si>
    <t>Lempp C et al.</t>
  </si>
  <si>
    <t>circovirus canine</t>
  </si>
  <si>
    <t>Aprea G et al.</t>
  </si>
  <si>
    <t>Hechinger S et al.</t>
  </si>
  <si>
    <t>Cleveland CA et al.</t>
  </si>
  <si>
    <t>Weissenb?ck H et al.</t>
  </si>
  <si>
    <t>Austria</t>
  </si>
  <si>
    <t>Aoki E et al.</t>
  </si>
  <si>
    <t>Hubálek Z et al.</t>
  </si>
  <si>
    <t>Link EK et al.</t>
  </si>
  <si>
    <t>sus scrofa papillomavirus 2</t>
  </si>
  <si>
    <t>Yong-Feng Z et al.</t>
  </si>
  <si>
    <t>Wang J et al.</t>
  </si>
  <si>
    <t>Busi C et al.</t>
  </si>
  <si>
    <t>Canuti M et al.</t>
  </si>
  <si>
    <t>Nurmoja I et al.</t>
  </si>
  <si>
    <t>Hernández FA et al.</t>
  </si>
  <si>
    <t>Gligi? A et al.</t>
  </si>
  <si>
    <t>orthohantavirus</t>
  </si>
  <si>
    <t>Porea D et al.</t>
  </si>
  <si>
    <t>Risalde MA et al.</t>
  </si>
  <si>
    <t>Kovalenko G et al.</t>
  </si>
  <si>
    <t>UKRAINE</t>
  </si>
  <si>
    <t>Jiang F et al.</t>
  </si>
  <si>
    <t>Monchatre-Leroy E et al.</t>
  </si>
  <si>
    <t>alphacoronavirus</t>
  </si>
  <si>
    <t>France</t>
  </si>
  <si>
    <t>Weigand K et al.</t>
  </si>
  <si>
    <t>Nemeth NM et al.</t>
  </si>
  <si>
    <t>Mirazo S et al.</t>
  </si>
  <si>
    <t>URUGUAY</t>
  </si>
  <si>
    <t>Charrier F et al.</t>
  </si>
  <si>
    <t>Spancerniene U et al.</t>
  </si>
  <si>
    <t>Rivero-Juarez A et al.</t>
  </si>
  <si>
    <t>Wostenberg DJ et al.</t>
  </si>
  <si>
    <t>Camp JV et al.</t>
  </si>
  <si>
    <t>orthobunyavirus tahynaense</t>
  </si>
  <si>
    <t>peribunyaviridae</t>
  </si>
  <si>
    <t>Jardine CM et al.</t>
  </si>
  <si>
    <t>Jia-Yu Y et al.</t>
  </si>
  <si>
    <t>Cagatay GN et al.</t>
  </si>
  <si>
    <t>pestivirus scrofae</t>
  </si>
  <si>
    <t>Gon?alves D et al.</t>
  </si>
  <si>
    <t>Garigliany M et al.</t>
  </si>
  <si>
    <t>D?hnert L et al.</t>
  </si>
  <si>
    <t>Fenaux H et al.</t>
  </si>
  <si>
    <t>Franzo G et al.</t>
  </si>
  <si>
    <t>circovirus porcine3</t>
  </si>
  <si>
    <t>Gilbert AT et al.</t>
  </si>
  <si>
    <t>Fletcher WO et al.</t>
  </si>
  <si>
    <t>vesicular stomatitis virus</t>
  </si>
  <si>
    <t>Kuwata R et al.</t>
  </si>
  <si>
    <t>getah virus</t>
  </si>
  <si>
    <t>Martellivirales</t>
  </si>
  <si>
    <t>togaviridae</t>
  </si>
  <si>
    <t>Mili?evi? V et al.</t>
  </si>
  <si>
    <t>Montenegro OL et al.</t>
  </si>
  <si>
    <t>COLOMBIA</t>
  </si>
  <si>
    <t>Strakova P et al.</t>
  </si>
  <si>
    <t>Veijalainen PM et al.</t>
  </si>
  <si>
    <t>Klaumann F et al.</t>
  </si>
  <si>
    <t>DiGeronimo PM et al.</t>
  </si>
  <si>
    <t>Stallknecht DE et al.</t>
  </si>
  <si>
    <t>Artsob H et al.</t>
  </si>
  <si>
    <t>orthobunyavirus khatangaense</t>
  </si>
  <si>
    <t>Colom-Cadena A et al.</t>
  </si>
  <si>
    <t>De Sabato L et al.</t>
  </si>
  <si>
    <t>Hydeskov HB et al.</t>
  </si>
  <si>
    <t>hedgehog herpesvirus</t>
  </si>
  <si>
    <t>herpesvirales</t>
  </si>
  <si>
    <t>unclassified herpesvirales</t>
  </si>
  <si>
    <t>Delogu M et al.</t>
  </si>
  <si>
    <t>Bedeković T et al.</t>
  </si>
  <si>
    <t>Ramos N et al.</t>
  </si>
  <si>
    <t>torque teno sus virus</t>
  </si>
  <si>
    <t>Son K et al.</t>
  </si>
  <si>
    <t>Pautienius A et al.</t>
  </si>
  <si>
    <t>Torii S et al.</t>
  </si>
  <si>
    <t>phlebovirus mukawaense</t>
  </si>
  <si>
    <t>Yang Y et al.</t>
  </si>
  <si>
    <t>circovirus mink</t>
  </si>
  <si>
    <t>Carr AN et al.</t>
  </si>
  <si>
    <t>Li L et al.</t>
  </si>
  <si>
    <t>Wang H et al.</t>
  </si>
  <si>
    <t>Gallardo C et al.</t>
  </si>
  <si>
    <t>Liang QL et al.</t>
  </si>
  <si>
    <t>Prinz C et al.</t>
  </si>
  <si>
    <t>Zecchin B et al.</t>
  </si>
  <si>
    <t>Jemeršić L et al.</t>
  </si>
  <si>
    <t>orthoflavivirus langatense</t>
  </si>
  <si>
    <t>yamaguchi virus</t>
  </si>
  <si>
    <t>Amoroso MG et al.</t>
  </si>
  <si>
    <t>Song T et al.</t>
  </si>
  <si>
    <t>Komiya T et al.</t>
  </si>
  <si>
    <t>Needle DB et al.</t>
  </si>
  <si>
    <t>Di Pasquale S et al.</t>
  </si>
  <si>
    <t>Saldanha IF et al.</t>
  </si>
  <si>
    <t>Yap G et al.</t>
  </si>
  <si>
    <t>SINGAPORE</t>
  </si>
  <si>
    <t>Pisano MB et al.</t>
  </si>
  <si>
    <t>ARGENTINA</t>
  </si>
  <si>
    <t>Niazmand MH et al.</t>
  </si>
  <si>
    <t>Caballero-Gómez J et al.</t>
  </si>
  <si>
    <t>Melegari I et al.</t>
  </si>
  <si>
    <t>protoparvovirus carnivoran3</t>
  </si>
  <si>
    <t>Schulz K et al.</t>
  </si>
  <si>
    <t>Fujimoto Y et al.</t>
  </si>
  <si>
    <t>Johne R et al.</t>
  </si>
  <si>
    <t>reovirales</t>
  </si>
  <si>
    <t>rotavirus h</t>
  </si>
  <si>
    <t>Sozzi E et al.</t>
  </si>
  <si>
    <t>Dascalu MA et al.</t>
  </si>
  <si>
    <t>Hayama Y et al.</t>
  </si>
  <si>
    <t>Choe S et al.</t>
  </si>
  <si>
    <t>Orłowska A et al.</t>
  </si>
  <si>
    <t>Lledó L et al.</t>
  </si>
  <si>
    <t>mammarenavirus choriomeningitidis</t>
  </si>
  <si>
    <t>arenaviridae</t>
  </si>
  <si>
    <t>Fischer S et al.</t>
  </si>
  <si>
    <t>Rosa GM et al.</t>
  </si>
  <si>
    <t>Eiden M et al.</t>
  </si>
  <si>
    <t>articulavirales</t>
  </si>
  <si>
    <t>Italy</t>
  </si>
  <si>
    <t>pestivirus</t>
  </si>
  <si>
    <t>deltainfluenzavirus influenzae</t>
  </si>
  <si>
    <t>Kim SH et al.</t>
  </si>
  <si>
    <t>Navarro A et al.</t>
  </si>
  <si>
    <t>Albayrak H et al.</t>
  </si>
  <si>
    <t>TURKEY</t>
  </si>
  <si>
    <t>Schulze V et al.</t>
  </si>
  <si>
    <t>Yang DK et al.</t>
  </si>
  <si>
    <t>Bonardi S et al.</t>
  </si>
  <si>
    <t>Lee SH et al.</t>
  </si>
  <si>
    <t>Bakken MA et al.</t>
  </si>
  <si>
    <t>Kmetiuk LB et al.</t>
  </si>
  <si>
    <t>Oude Munnink BB et al.</t>
  </si>
  <si>
    <t>QATAR</t>
  </si>
  <si>
    <t>Steinparzer R et al.</t>
  </si>
  <si>
    <t>Moreno A et al.</t>
  </si>
  <si>
    <t>Wünschmann A et al.</t>
  </si>
  <si>
    <t>Varela APM et al.</t>
  </si>
  <si>
    <t>Nagata A et al.</t>
  </si>
  <si>
    <t>Kim HH et al.</t>
  </si>
  <si>
    <t>Severo DRT et al.</t>
  </si>
  <si>
    <t>Urbani L et al.</t>
  </si>
  <si>
    <t>Rodríguez-Cabo-Mercado R et al.</t>
  </si>
  <si>
    <t>MEXICO</t>
  </si>
  <si>
    <t>Pierini I et al.</t>
  </si>
  <si>
    <t>Kozyra I et al.</t>
  </si>
  <si>
    <t>Lanszki Z et al.</t>
  </si>
  <si>
    <t>Sauter-Louis C et al.</t>
  </si>
  <si>
    <t>Vanmechelen B et al.</t>
  </si>
  <si>
    <t>jeilongvirus erinacei</t>
  </si>
  <si>
    <t>Belgium</t>
  </si>
  <si>
    <t>Ndiana LA et al.</t>
  </si>
  <si>
    <t>Haut M et al.</t>
  </si>
  <si>
    <t>Qian Z et al.</t>
  </si>
  <si>
    <t>Fredriksson-Ahomaa M et al.</t>
  </si>
  <si>
    <t>Denstedt E et al.</t>
  </si>
  <si>
    <t>VIET NAM</t>
  </si>
  <si>
    <t>LAOS</t>
  </si>
  <si>
    <t>CAMBODIA</t>
  </si>
  <si>
    <t>Trogu T et al.</t>
  </si>
  <si>
    <t>Fenton H et al.</t>
  </si>
  <si>
    <t>Dastjerdi A et al.</t>
  </si>
  <si>
    <t>hedgehog arterivirus</t>
  </si>
  <si>
    <t>Nadin-Davis SA et al.</t>
  </si>
  <si>
    <t>Tsachev I et al.</t>
  </si>
  <si>
    <t>Arnaboldi S et al.</t>
  </si>
  <si>
    <t>Niczyporuk JS et al.</t>
  </si>
  <si>
    <t>Giacinti JA et al.</t>
  </si>
  <si>
    <t>Porto GS et al.</t>
  </si>
  <si>
    <t>Elnagar A et al.</t>
  </si>
  <si>
    <t>Teider-Junior PI et al.</t>
  </si>
  <si>
    <t>Čolić D et al.</t>
  </si>
  <si>
    <t>Schülein A et al.</t>
  </si>
  <si>
    <t>Park GN et al.</t>
  </si>
  <si>
    <t>porcine parvovirus 5</t>
  </si>
  <si>
    <t>copiparvovirus ungulate4</t>
  </si>
  <si>
    <t>copiparvovirus ungulate2</t>
  </si>
  <si>
    <t>chaphamaparvovirus ungulate1</t>
  </si>
  <si>
    <t>Müller A et al.</t>
  </si>
  <si>
    <t>Dhandapani G et al.</t>
  </si>
  <si>
    <t>Chang AM et al.</t>
  </si>
  <si>
    <t>Souza TCGD et al.</t>
  </si>
  <si>
    <t>Barroso P et al.</t>
  </si>
  <si>
    <t>Matsuu A et al.</t>
  </si>
  <si>
    <t>Shin J et al.</t>
  </si>
  <si>
    <t>aichivirus c</t>
  </si>
  <si>
    <t>Stenberg H et al.</t>
  </si>
  <si>
    <t>altai virus</t>
  </si>
  <si>
    <t>artybash virus</t>
  </si>
  <si>
    <t>mobatvirus lenaense</t>
  </si>
  <si>
    <t>Rim JM et al.</t>
  </si>
  <si>
    <t>Kuba Y et al.</t>
  </si>
  <si>
    <t>Oleaga Á et al.</t>
  </si>
  <si>
    <t>Rijks JM et al.</t>
  </si>
  <si>
    <t>newlavirus</t>
  </si>
  <si>
    <t>Kaiser FK et al.</t>
  </si>
  <si>
    <t>swinepox virus</t>
  </si>
  <si>
    <t>Saltik HS et al.</t>
  </si>
  <si>
    <t>Luvai EAC et al.</t>
  </si>
  <si>
    <t>uukuvirus kabutoense</t>
  </si>
  <si>
    <t>orthonairovirus japonicum</t>
  </si>
  <si>
    <t>nairoviridae</t>
  </si>
  <si>
    <t>great island virus</t>
  </si>
  <si>
    <t>Shi N et al.</t>
  </si>
  <si>
    <t>Ferrara G et al.</t>
  </si>
  <si>
    <t>macavirus suidgamma3</t>
  </si>
  <si>
    <t>macavirus suidgamma4</t>
  </si>
  <si>
    <t>macavirus suidgamma5</t>
  </si>
  <si>
    <t>Podgórski T et al.</t>
  </si>
  <si>
    <t>Sarchese V et al.</t>
  </si>
  <si>
    <t>Kirino Y et al.</t>
  </si>
  <si>
    <t>Kimpston CN et al.</t>
  </si>
  <si>
    <t>Bourque L et al.</t>
  </si>
  <si>
    <t>skunk mastadenovirus a</t>
  </si>
  <si>
    <t>Jeske K et al.</t>
  </si>
  <si>
    <t>Lithuania</t>
  </si>
  <si>
    <t>Falkenhagen A et al.</t>
  </si>
  <si>
    <t>Kličková E et al.</t>
  </si>
  <si>
    <t>Righi F et al.</t>
  </si>
  <si>
    <t>kappatorquevirus suidak2a</t>
  </si>
  <si>
    <t>Zhao J et al.</t>
  </si>
  <si>
    <t>Jiménez-Ruiz S et al.</t>
  </si>
  <si>
    <t>orthobunyavirus schmallenbergense</t>
  </si>
  <si>
    <t>Auer A et al.</t>
  </si>
  <si>
    <t>rotavirus l</t>
  </si>
  <si>
    <t>Schotte U et al.</t>
  </si>
  <si>
    <t>Lorusso P et al.</t>
  </si>
  <si>
    <t>Carella E et al.</t>
  </si>
  <si>
    <t>Kaneko F et al.</t>
  </si>
  <si>
    <t>Fabbri MC et al.</t>
  </si>
  <si>
    <t>Rudova N et al.</t>
  </si>
  <si>
    <t>Mendoza MV et al.</t>
  </si>
  <si>
    <t>Gremmel N et al.</t>
  </si>
  <si>
    <t>Gong W et al.</t>
  </si>
  <si>
    <t>Prosperi A et al.</t>
  </si>
  <si>
    <t>Wang W et al.</t>
  </si>
  <si>
    <t>Tatemoto K et al.</t>
  </si>
  <si>
    <t>Wang X et al.</t>
  </si>
  <si>
    <t>beluga whale coronavirus sw1</t>
  </si>
  <si>
    <t>Ferri G et al.</t>
  </si>
  <si>
    <t>de Martinis C et al.</t>
  </si>
  <si>
    <t>hepacivirus bovis</t>
  </si>
  <si>
    <t>da Silva Andrade J et al.</t>
  </si>
  <si>
    <t>Di Francesco CE et al.</t>
  </si>
  <si>
    <t>Grassi L et al.</t>
  </si>
  <si>
    <t>Hagag IT et al.</t>
  </si>
  <si>
    <t>Kitamura Y et al.</t>
  </si>
  <si>
    <t>Wu H et al.</t>
  </si>
  <si>
    <t>circovirus porcine4</t>
  </si>
  <si>
    <t>De Marco MA et al.</t>
  </si>
  <si>
    <t>Brnić D et al.</t>
  </si>
  <si>
    <t>Hönig V et al.</t>
  </si>
  <si>
    <t>Czech Republic</t>
  </si>
  <si>
    <t>orthohantavirus asikkalaense</t>
  </si>
  <si>
    <t>Cuadrado-Matías R et al.</t>
  </si>
  <si>
    <t>orthonairovirus haemorrhagiae</t>
  </si>
  <si>
    <t>Lanave G et al.</t>
  </si>
  <si>
    <t>Laidoudi Y et al.</t>
  </si>
  <si>
    <t>Konjevi? D et al.</t>
  </si>
  <si>
    <t>Kim YJ et al.</t>
  </si>
  <si>
    <t>Adjadj NR et al.</t>
  </si>
  <si>
    <t>Oba M et al.</t>
  </si>
  <si>
    <t>porcine adenovirus</t>
  </si>
  <si>
    <t>Zhao C et al.</t>
  </si>
  <si>
    <t>Keller M et al.</t>
  </si>
  <si>
    <t>Hiono T et al.</t>
  </si>
  <si>
    <t>Wang Y et al.</t>
  </si>
  <si>
    <t>Buhler KJ et al.</t>
  </si>
  <si>
    <t>orthobunyavirus encephalitidis</t>
  </si>
  <si>
    <t>Kaneko C et al.</t>
  </si>
  <si>
    <t>DENMARK</t>
  </si>
  <si>
    <t>bluetongue virus</t>
  </si>
  <si>
    <t>Santos-Silva S et al.</t>
  </si>
  <si>
    <t>Wu JY et al.</t>
  </si>
  <si>
    <t>Bordes L et al.</t>
  </si>
  <si>
    <t>Kurucay HN et al.</t>
  </si>
  <si>
    <t>Buragohain L et al.</t>
  </si>
  <si>
    <t>INDIA</t>
  </si>
  <si>
    <t>Yoshizawa N et al.</t>
  </si>
  <si>
    <t>orthobunyavirus peachesterense</t>
  </si>
  <si>
    <t>Trozzi G et al.</t>
  </si>
  <si>
    <t>Alkie TN et al.</t>
  </si>
  <si>
    <t>Tammiranta N et al.</t>
  </si>
  <si>
    <t>Pacini MI et al.</t>
  </si>
  <si>
    <t>Althof N et al.</t>
  </si>
  <si>
    <t>Reinhardt NP et al.</t>
  </si>
  <si>
    <t>Prpić J et al.</t>
  </si>
  <si>
    <t>Kikuchi F et al.</t>
  </si>
  <si>
    <t>Serena MS et al.</t>
  </si>
  <si>
    <t>Freuling CM et al.</t>
  </si>
  <si>
    <t>Greenhorn JE et al.</t>
  </si>
  <si>
    <t>Topp AK et al.</t>
  </si>
  <si>
    <t>Casades-Martí L et al.</t>
  </si>
  <si>
    <t>rotavirus k</t>
  </si>
  <si>
    <t>Faw LR et al.</t>
  </si>
  <si>
    <t>orthobunyavirus lacrosseense</t>
  </si>
  <si>
    <t>Stancu AC et al.</t>
  </si>
  <si>
    <t>Liu SW et al.</t>
  </si>
  <si>
    <t>orthohantavirus dabieshanense</t>
  </si>
  <si>
    <t>Cronk BD et al.</t>
  </si>
  <si>
    <t>Gupta A et al.</t>
  </si>
  <si>
    <t>Despres HW et al.</t>
  </si>
  <si>
    <t>Koh EY et al.</t>
  </si>
  <si>
    <t>hedgehog chapparvovirus</t>
  </si>
  <si>
    <t>piccovirales</t>
  </si>
  <si>
    <t>bacteriophage sp.</t>
  </si>
  <si>
    <t>unclassified family</t>
  </si>
  <si>
    <t>Holgado-Martín R et al.</t>
  </si>
  <si>
    <t>Chestakova IV et al.</t>
  </si>
  <si>
    <t>Liang Y et al.</t>
  </si>
  <si>
    <t>Lagan P et al.</t>
  </si>
  <si>
    <t>Rossi A et al.</t>
  </si>
  <si>
    <t>La Bella G et al.</t>
  </si>
  <si>
    <t>Muñoz-Hernández C et al.</t>
  </si>
  <si>
    <t>Baechlein C et al.</t>
  </si>
  <si>
    <t>Baz-Flores S et al.</t>
  </si>
  <si>
    <t>Dei Giudici S et al.</t>
  </si>
  <si>
    <t>Park SC et al.</t>
  </si>
  <si>
    <t>Thiriart C et al.</t>
  </si>
  <si>
    <t>Wojcinski ZW et al.</t>
  </si>
  <si>
    <t>Hubbard DR et al.</t>
  </si>
  <si>
    <t>Bigler WJ et al.</t>
  </si>
  <si>
    <t>Brummer-Korvenkontio M et al.</t>
  </si>
  <si>
    <t>orthobunyavirus jamestownense</t>
  </si>
  <si>
    <t>Bitsch V et al.</t>
  </si>
  <si>
    <t>Kirkpatrick CM et al.</t>
  </si>
  <si>
    <t>Amundson TE et al.</t>
  </si>
  <si>
    <t>Barker IK et al.</t>
  </si>
  <si>
    <t>Platt KB et al.</t>
  </si>
  <si>
    <t>Rabinowitz AR et al.</t>
  </si>
  <si>
    <t>Weiss M et al.</t>
  </si>
  <si>
    <t>equine torovirus</t>
  </si>
  <si>
    <t>tobaniviridae</t>
  </si>
  <si>
    <t>New JC Jr et al.</t>
  </si>
  <si>
    <t>calovo virus</t>
  </si>
  <si>
    <t>Roscoe DE et al.</t>
  </si>
  <si>
    <t>van der Leek ML et al.</t>
  </si>
  <si>
    <t>Amaddeo D et al.</t>
  </si>
  <si>
    <t>van Moll P et al.</t>
  </si>
  <si>
    <t>herpesviridae sp.</t>
  </si>
  <si>
    <t>Sweden</t>
  </si>
  <si>
    <t>Hostnik P et al.</t>
  </si>
  <si>
    <t>Capua I et al.</t>
  </si>
  <si>
    <t>Tryland M et al.</t>
  </si>
  <si>
    <t>orthopoxvirus</t>
  </si>
  <si>
    <t>Norway</t>
  </si>
  <si>
    <t>Neagari Y et al.</t>
  </si>
  <si>
    <t>Sandvik T et al.</t>
  </si>
  <si>
    <t>european brown hare syndrome virus</t>
  </si>
  <si>
    <t>Little SE et al.</t>
  </si>
  <si>
    <t>Saliki JT et al.</t>
  </si>
  <si>
    <t>Truyen U et al.</t>
  </si>
  <si>
    <t>Palmer AC et al.</t>
  </si>
  <si>
    <t>unidentified influenza virus</t>
  </si>
  <si>
    <t>Nanopore快速测序诊断饲养野猪非洲猪瘟疫情</t>
  </si>
  <si>
    <t>Yan et al.</t>
  </si>
  <si>
    <t>PRRSV特种野猪分离株NSP2基因序列分析和疫苗免疫效果</t>
  </si>
  <si>
    <t>Mao et al.</t>
  </si>
  <si>
    <t>TaqMan荧光定量PCR监测野猪乙型脑炎病毒</t>
  </si>
  <si>
    <t>Zhao et al.</t>
  </si>
  <si>
    <t>北京地区养殖果子狸SARS冠状病毒调查</t>
  </si>
  <si>
    <t>Wei et al.</t>
  </si>
  <si>
    <t>不同动物SARS病毒携带状况的研究</t>
  </si>
  <si>
    <t>He et al.</t>
  </si>
  <si>
    <t>从健康狐狸、貉粪中检出犬冠状病毒的两种基因型</t>
  </si>
  <si>
    <t>Ma et al.</t>
  </si>
  <si>
    <t>貂、狐、貉群犬瘟热临床及病理学研究</t>
  </si>
  <si>
    <t>Wang et al.</t>
  </si>
  <si>
    <t>东北边境地区野猪及放养杂交野猪戊型肝炎流行病学调查</t>
  </si>
  <si>
    <t>Ren et al.</t>
  </si>
  <si>
    <t>涪陵区某野猪养殖场常见疫病血清学抗体监测</t>
  </si>
  <si>
    <t>Zhou et al.</t>
  </si>
  <si>
    <t>感染非洲猪瘟强毒株和弱毒株的野猪排毒方式的差异</t>
  </si>
  <si>
    <t>广西SARS的流行病学特征调查分析</t>
  </si>
  <si>
    <t>Liang et al.</t>
  </si>
  <si>
    <t>广西野生动物SARS冠状病毒的感染状况及其意义</t>
  </si>
  <si>
    <t>Tan et al.</t>
  </si>
  <si>
    <t>广西野生动物伪狂犬病毒感染情况调查及gE基因序列分析</t>
  </si>
  <si>
    <t>Xun et al.</t>
  </si>
  <si>
    <t>广西野猪猪瘟病毒感染情况的调查报告</t>
  </si>
  <si>
    <t>Chen et al.</t>
  </si>
  <si>
    <t>广州市2004年某野生动物市场动物携带SARS-CoV监测</t>
  </si>
  <si>
    <t>贵州省江口县家养野猪血清学和病原学调查</t>
  </si>
  <si>
    <t>Tian et al.</t>
  </si>
  <si>
    <t>贵州省野猪蓝耳病病例报告</t>
  </si>
  <si>
    <t>果子狸感染犬瘟热病毒的诊治</t>
  </si>
  <si>
    <t>Yang et al.</t>
  </si>
  <si>
    <t>果子狸细小病毒的分离与鉴定</t>
  </si>
  <si>
    <t>果子狸细小病毒性肠炎首次诊断及防治初探</t>
  </si>
  <si>
    <t>Duan et al.</t>
  </si>
  <si>
    <t>果子狸源呼肠孤病毒的分离鉴定</t>
  </si>
  <si>
    <t>Shao et al.</t>
  </si>
  <si>
    <t>海南热带雨林野猪非洲猪瘟主动监测预警结果及分析</t>
  </si>
  <si>
    <t>Feng et al.</t>
  </si>
  <si>
    <t>貉传染性肝炎的实验室诊断</t>
  </si>
  <si>
    <t>Niu et al.</t>
  </si>
  <si>
    <t>貉发生犬瘟热病的调查报告</t>
  </si>
  <si>
    <t>Bi et al.</t>
  </si>
  <si>
    <t>貉细小病毒肠炎细胞毒株(HB-1)的分离鉴定</t>
  </si>
  <si>
    <t>貉源狂犬病病毒NeiMeng株的分离与鉴定</t>
  </si>
  <si>
    <t>貉源犬瘟热病毒的分离鉴定及其H基因的序列分析</t>
  </si>
  <si>
    <t>Guo et al.</t>
  </si>
  <si>
    <t>貉源细小病毒的分离鉴定</t>
  </si>
  <si>
    <t>Liu et al.</t>
  </si>
  <si>
    <t>黑龙江省绥芬河市野猪血清常见疾病抗体监测</t>
  </si>
  <si>
    <t>狐貉犬瘟热、细小病毒性肠炎和脑(肝)炎流行病学调查</t>
  </si>
  <si>
    <t>Cong et al.</t>
  </si>
  <si>
    <t>湖北省神农架林区野猪非洲猪瘟疫情的紧急流行病学调查</t>
  </si>
  <si>
    <t>Pei et al.</t>
  </si>
  <si>
    <t>济南市平阴县农村环境鼠形动物调查与携带病原体检测</t>
  </si>
  <si>
    <t>Yu et al.</t>
  </si>
  <si>
    <t>家养野猪场主要疫病流行病学调查</t>
  </si>
  <si>
    <t>porcine circovirus</t>
  </si>
  <si>
    <t>家养野猪断奶多系统衰竭综合征的诊断</t>
  </si>
  <si>
    <t>林下饲养野猪发生猪繁殖与呼吸综合征的诊治体会</t>
  </si>
  <si>
    <t>Lian et al.</t>
  </si>
  <si>
    <t>某养殖场暴发貉的犬瘟热</t>
  </si>
  <si>
    <t>某养殖场的病死野猪ASFV实时荧光PCR检测</t>
  </si>
  <si>
    <t>深圳东门市场野生动物SARS病毒的监测</t>
  </si>
  <si>
    <t>特种野猪病毒性胃肠炎和大肠杆菌混染的诊治</t>
  </si>
  <si>
    <t>特种野猪猪瘟的流行病学调查及防控</t>
  </si>
  <si>
    <t>Mon et al.</t>
  </si>
  <si>
    <t>卧龙自然保护区一例野猪死亡的原因分析</t>
  </si>
  <si>
    <t>野猪病原体混合感染的PCR诊断与防控</t>
  </si>
  <si>
    <t>Wu et al.</t>
  </si>
  <si>
    <t>野猪传染性胃肠炎的诊治</t>
  </si>
  <si>
    <t>Sha et al.</t>
  </si>
  <si>
    <t>野猪感染CSFV、PRRSV、PCV、PPV和PRV的检测</t>
  </si>
  <si>
    <t>野猪感染猪瘟死亡病例报告</t>
  </si>
  <si>
    <t>Xie et al.</t>
  </si>
  <si>
    <t>野猪高致病性蓝耳病与多杀性巴氏杆菌混合感染的诊断报告</t>
  </si>
  <si>
    <t>野猪源猪圆环病毒4型的发现及其Cap基因序列分析</t>
  </si>
  <si>
    <t>一例野猪感染猪瘟病例的实验室诊断</t>
  </si>
  <si>
    <t>Hua et al.</t>
  </si>
  <si>
    <t>一起貉患犬瘟热的诊治</t>
  </si>
  <si>
    <t>一起野猪意外死亡的处置分析</t>
  </si>
  <si>
    <t>Guan et al.</t>
  </si>
  <si>
    <t>一起野猪猪瘟感染的诊断</t>
  </si>
  <si>
    <t>Liao et al.</t>
  </si>
  <si>
    <t>一株貉源犬瘟热病毒核衣壳蛋白的原核表达</t>
  </si>
  <si>
    <t>一株致妊娠期母貉流产奇异变形杆菌分离鉴定及特征分析</t>
  </si>
  <si>
    <t>应用RT-PCR方法检测人与动物的SARS冠状病毒</t>
  </si>
  <si>
    <t>云南省野猪源猪瘟病毒E2及5'NTR基因序列测定分析</t>
  </si>
  <si>
    <t>仔貉犬瘟热的诊疗体会</t>
  </si>
  <si>
    <t>致貉流产死胎肠外致病性大肠杆菌的分离鉴定及生物学特性</t>
  </si>
  <si>
    <t>自然保护区和国有林区野猪在贵州省道真县境内死亡的流行病学调查</t>
  </si>
  <si>
    <t>Pi et 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</si>
</sst>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176" fontId="0" fillId="0" borderId="0" xfId="0" applyNumberFormat="1">
      <alignment vertical="center"/>
    </xf>
    <xf numFmtId="176" fontId="0" fillId="0" borderId="0" xfId="0" applyNumberFormat="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69"/>
  <sheetViews>
    <sheetView tabSelected="1" zoomScaleSheetLayoutView="60" topLeftCell="D1" workbookViewId="0">
      <selection activeCell="M1" sqref="M1"/>
    </sheetView>
  </sheetViews>
  <sheetFormatPr defaultColWidth="9.55752212389381" defaultRowHeight="13.5"/>
  <cols>
    <col min="1" max="1" width="14.8141592920354" customWidth="1"/>
    <col min="2" max="2" width="18.5929203539823" customWidth="1"/>
    <col min="4" max="4" width="27.1504424778761" customWidth="1"/>
    <col min="5" max="5" width="21.3805309734513" customWidth="1"/>
    <col min="6" max="6" width="9.55752212389381" customWidth="1"/>
    <col min="9" max="9" width="12.7964601769912" style="1"/>
  </cols>
  <sheetData>
    <row r="1" spans="1:14">
      <c r="A1" t="s">
        <v>0</v>
      </c>
      <c r="B1" t="s">
        <v>1</v>
      </c>
      <c r="C1" t="s">
        <v>2</v>
      </c>
      <c r="D1" t="s">
        <v>3</v>
      </c>
      <c r="E1" t="s">
        <v>4</v>
      </c>
      <c r="F1" t="s">
        <v>5</v>
      </c>
      <c r="G1" t="s">
        <v>6</v>
      </c>
      <c r="H1" t="s">
        <v>7</v>
      </c>
      <c r="I1" s="2" t="s">
        <v>8</v>
      </c>
      <c r="J1" t="s">
        <v>9</v>
      </c>
      <c r="K1" t="s">
        <v>10</v>
      </c>
      <c r="L1" t="s">
        <v>11</v>
      </c>
      <c r="M1" t="s">
        <v>12</v>
      </c>
      <c r="N1" t="s">
        <v>13</v>
      </c>
    </row>
    <row r="2" spans="1:14">
      <c r="A2">
        <v>10231761</v>
      </c>
      <c r="B2" t="s">
        <v>14</v>
      </c>
      <c r="C2">
        <v>1999</v>
      </c>
      <c r="D2" t="s">
        <v>15</v>
      </c>
      <c r="E2" t="s">
        <v>16</v>
      </c>
      <c r="F2" t="s">
        <v>17</v>
      </c>
      <c r="G2">
        <v>82</v>
      </c>
      <c r="H2">
        <v>479</v>
      </c>
      <c r="I2" s="1">
        <f>G2/H2</f>
        <v>0.171189979123173</v>
      </c>
      <c r="J2" t="s">
        <v>18</v>
      </c>
      <c r="K2" t="s">
        <v>19</v>
      </c>
      <c r="L2" t="s">
        <v>15</v>
      </c>
      <c r="M2" t="s">
        <v>20</v>
      </c>
      <c r="N2" t="s">
        <v>21</v>
      </c>
    </row>
    <row r="3" spans="1:14">
      <c r="A3">
        <v>10231761</v>
      </c>
      <c r="B3" t="s">
        <v>14</v>
      </c>
      <c r="C3">
        <v>1999</v>
      </c>
      <c r="D3" t="s">
        <v>22</v>
      </c>
      <c r="E3" t="s">
        <v>16</v>
      </c>
      <c r="F3" t="s">
        <v>17</v>
      </c>
      <c r="G3">
        <v>112</v>
      </c>
      <c r="H3">
        <v>479</v>
      </c>
      <c r="I3" s="1">
        <f t="shared" ref="I3:I66" si="0">G3/H3</f>
        <v>0.233820459290188</v>
      </c>
      <c r="J3" t="s">
        <v>23</v>
      </c>
      <c r="K3" t="s">
        <v>24</v>
      </c>
      <c r="L3" t="s">
        <v>22</v>
      </c>
      <c r="M3" t="s">
        <v>20</v>
      </c>
      <c r="N3" t="s">
        <v>21</v>
      </c>
    </row>
    <row r="4" spans="1:14">
      <c r="A4">
        <v>10479095</v>
      </c>
      <c r="B4" t="s">
        <v>25</v>
      </c>
      <c r="C4">
        <v>1999</v>
      </c>
      <c r="D4" t="s">
        <v>26</v>
      </c>
      <c r="E4" t="s">
        <v>27</v>
      </c>
      <c r="F4" t="s">
        <v>28</v>
      </c>
      <c r="G4">
        <v>0</v>
      </c>
      <c r="H4">
        <v>4</v>
      </c>
      <c r="I4" s="1">
        <f t="shared" si="0"/>
        <v>0</v>
      </c>
      <c r="J4" t="s">
        <v>18</v>
      </c>
      <c r="K4" t="s">
        <v>19</v>
      </c>
      <c r="L4" t="s">
        <v>26</v>
      </c>
      <c r="M4" t="s">
        <v>29</v>
      </c>
      <c r="N4" t="s">
        <v>30</v>
      </c>
    </row>
    <row r="5" spans="1:14">
      <c r="A5">
        <v>10479095</v>
      </c>
      <c r="B5" t="s">
        <v>25</v>
      </c>
      <c r="C5">
        <v>1999</v>
      </c>
      <c r="D5" t="s">
        <v>31</v>
      </c>
      <c r="E5" t="s">
        <v>27</v>
      </c>
      <c r="F5" t="s">
        <v>28</v>
      </c>
      <c r="G5">
        <v>0</v>
      </c>
      <c r="H5">
        <v>4</v>
      </c>
      <c r="I5" s="1">
        <f t="shared" si="0"/>
        <v>0</v>
      </c>
      <c r="J5" t="s">
        <v>32</v>
      </c>
      <c r="K5" t="s">
        <v>33</v>
      </c>
      <c r="L5" t="s">
        <v>31</v>
      </c>
      <c r="M5" t="s">
        <v>29</v>
      </c>
      <c r="N5" t="s">
        <v>30</v>
      </c>
    </row>
    <row r="6" spans="1:14">
      <c r="A6">
        <v>10479095</v>
      </c>
      <c r="B6" t="s">
        <v>25</v>
      </c>
      <c r="C6">
        <v>1999</v>
      </c>
      <c r="D6" t="s">
        <v>34</v>
      </c>
      <c r="E6" t="s">
        <v>27</v>
      </c>
      <c r="F6" t="s">
        <v>28</v>
      </c>
      <c r="G6">
        <v>0</v>
      </c>
      <c r="H6">
        <v>4</v>
      </c>
      <c r="I6" s="1">
        <f t="shared" si="0"/>
        <v>0</v>
      </c>
      <c r="J6" t="s">
        <v>35</v>
      </c>
      <c r="K6" t="s">
        <v>36</v>
      </c>
      <c r="L6" t="s">
        <v>34</v>
      </c>
      <c r="M6" t="s">
        <v>29</v>
      </c>
      <c r="N6" t="s">
        <v>30</v>
      </c>
    </row>
    <row r="7" spans="1:14">
      <c r="A7">
        <v>10479095</v>
      </c>
      <c r="B7" t="s">
        <v>25</v>
      </c>
      <c r="C7">
        <v>1999</v>
      </c>
      <c r="D7" t="s">
        <v>37</v>
      </c>
      <c r="E7" t="s">
        <v>27</v>
      </c>
      <c r="F7" t="s">
        <v>28</v>
      </c>
      <c r="G7">
        <v>4</v>
      </c>
      <c r="H7">
        <v>4</v>
      </c>
      <c r="I7" s="1">
        <f t="shared" si="0"/>
        <v>1</v>
      </c>
      <c r="J7" t="s">
        <v>38</v>
      </c>
      <c r="K7" t="s">
        <v>39</v>
      </c>
      <c r="L7" t="s">
        <v>37</v>
      </c>
      <c r="M7" t="s">
        <v>29</v>
      </c>
      <c r="N7" t="s">
        <v>30</v>
      </c>
    </row>
    <row r="8" spans="1:14">
      <c r="A8">
        <v>10766117</v>
      </c>
      <c r="B8" t="s">
        <v>40</v>
      </c>
      <c r="C8">
        <v>2000</v>
      </c>
      <c r="D8" t="s">
        <v>22</v>
      </c>
      <c r="E8" t="s">
        <v>16</v>
      </c>
      <c r="F8" t="s">
        <v>41</v>
      </c>
      <c r="G8">
        <v>0</v>
      </c>
      <c r="H8">
        <v>1</v>
      </c>
      <c r="I8" s="1">
        <f t="shared" si="0"/>
        <v>0</v>
      </c>
      <c r="J8" t="s">
        <v>23</v>
      </c>
      <c r="K8" t="s">
        <v>24</v>
      </c>
      <c r="L8" t="s">
        <v>22</v>
      </c>
      <c r="M8" t="s">
        <v>20</v>
      </c>
      <c r="N8" t="s">
        <v>21</v>
      </c>
    </row>
    <row r="9" spans="1:14">
      <c r="A9">
        <v>10766117</v>
      </c>
      <c r="B9" t="s">
        <v>40</v>
      </c>
      <c r="C9">
        <v>2000</v>
      </c>
      <c r="D9" t="s">
        <v>42</v>
      </c>
      <c r="E9" t="s">
        <v>16</v>
      </c>
      <c r="F9" t="s">
        <v>41</v>
      </c>
      <c r="G9">
        <v>1</v>
      </c>
      <c r="H9">
        <v>1</v>
      </c>
      <c r="I9" s="1">
        <f t="shared" si="0"/>
        <v>1</v>
      </c>
      <c r="J9" t="s">
        <v>43</v>
      </c>
      <c r="K9" t="s">
        <v>44</v>
      </c>
      <c r="L9" t="s">
        <v>42</v>
      </c>
      <c r="M9" t="s">
        <v>20</v>
      </c>
      <c r="N9" t="s">
        <v>21</v>
      </c>
    </row>
    <row r="10" spans="1:14">
      <c r="A10">
        <v>10766117</v>
      </c>
      <c r="B10" t="s">
        <v>40</v>
      </c>
      <c r="C10">
        <v>2000</v>
      </c>
      <c r="D10" t="s">
        <v>45</v>
      </c>
      <c r="E10" t="s">
        <v>16</v>
      </c>
      <c r="F10" t="s">
        <v>41</v>
      </c>
      <c r="G10">
        <v>0</v>
      </c>
      <c r="H10">
        <v>1</v>
      </c>
      <c r="I10" s="1">
        <f t="shared" si="0"/>
        <v>0</v>
      </c>
      <c r="J10" t="s">
        <v>23</v>
      </c>
      <c r="K10" t="s">
        <v>46</v>
      </c>
      <c r="L10" t="s">
        <v>45</v>
      </c>
      <c r="M10" t="s">
        <v>20</v>
      </c>
      <c r="N10" t="s">
        <v>21</v>
      </c>
    </row>
    <row r="11" spans="1:14">
      <c r="A11">
        <v>10831852</v>
      </c>
      <c r="B11" t="s">
        <v>47</v>
      </c>
      <c r="C11">
        <v>2000</v>
      </c>
      <c r="D11" t="s">
        <v>22</v>
      </c>
      <c r="E11" t="s">
        <v>48</v>
      </c>
      <c r="F11" t="s">
        <v>17</v>
      </c>
      <c r="G11">
        <v>0</v>
      </c>
      <c r="H11">
        <v>1</v>
      </c>
      <c r="I11" s="1">
        <f t="shared" si="0"/>
        <v>0</v>
      </c>
      <c r="J11" t="s">
        <v>23</v>
      </c>
      <c r="K11" t="s">
        <v>24</v>
      </c>
      <c r="L11" t="s">
        <v>22</v>
      </c>
      <c r="M11" t="s">
        <v>49</v>
      </c>
      <c r="N11" t="s">
        <v>50</v>
      </c>
    </row>
    <row r="12" spans="1:14">
      <c r="A12">
        <v>10831852</v>
      </c>
      <c r="B12" t="s">
        <v>47</v>
      </c>
      <c r="C12">
        <v>2000</v>
      </c>
      <c r="D12" t="s">
        <v>22</v>
      </c>
      <c r="E12" t="s">
        <v>51</v>
      </c>
      <c r="F12" t="s">
        <v>17</v>
      </c>
      <c r="G12">
        <v>30</v>
      </c>
      <c r="H12">
        <v>591</v>
      </c>
      <c r="I12" s="1">
        <f t="shared" si="0"/>
        <v>0.050761421319797</v>
      </c>
      <c r="J12" t="s">
        <v>23</v>
      </c>
      <c r="K12" t="s">
        <v>24</v>
      </c>
      <c r="L12" t="s">
        <v>22</v>
      </c>
      <c r="M12" t="s">
        <v>49</v>
      </c>
      <c r="N12" t="s">
        <v>50</v>
      </c>
    </row>
    <row r="13" spans="1:14">
      <c r="A13">
        <v>10831852</v>
      </c>
      <c r="B13" t="s">
        <v>47</v>
      </c>
      <c r="C13">
        <v>2000</v>
      </c>
      <c r="D13" t="s">
        <v>22</v>
      </c>
      <c r="E13" t="s">
        <v>16</v>
      </c>
      <c r="F13" t="s">
        <v>17</v>
      </c>
      <c r="G13">
        <v>0</v>
      </c>
      <c r="H13">
        <v>45</v>
      </c>
      <c r="I13" s="1">
        <f t="shared" si="0"/>
        <v>0</v>
      </c>
      <c r="J13" t="s">
        <v>23</v>
      </c>
      <c r="K13" t="s">
        <v>24</v>
      </c>
      <c r="L13" t="s">
        <v>22</v>
      </c>
      <c r="M13" t="s">
        <v>49</v>
      </c>
      <c r="N13" t="s">
        <v>50</v>
      </c>
    </row>
    <row r="14" spans="1:14">
      <c r="A14">
        <v>11048431</v>
      </c>
      <c r="B14" t="s">
        <v>52</v>
      </c>
      <c r="C14">
        <v>2000</v>
      </c>
      <c r="D14" t="s">
        <v>53</v>
      </c>
      <c r="E14" t="s">
        <v>51</v>
      </c>
      <c r="F14" t="s">
        <v>54</v>
      </c>
      <c r="G14">
        <v>9</v>
      </c>
      <c r="H14">
        <v>786</v>
      </c>
      <c r="I14" s="1">
        <f t="shared" si="0"/>
        <v>0.0114503816793893</v>
      </c>
      <c r="J14" t="s">
        <v>55</v>
      </c>
      <c r="K14" t="s">
        <v>56</v>
      </c>
      <c r="L14" t="s">
        <v>53</v>
      </c>
      <c r="M14" t="s">
        <v>49</v>
      </c>
      <c r="N14" t="s">
        <v>50</v>
      </c>
    </row>
    <row r="15" spans="1:14">
      <c r="A15">
        <v>11048431</v>
      </c>
      <c r="B15" t="s">
        <v>52</v>
      </c>
      <c r="C15">
        <v>2000</v>
      </c>
      <c r="D15" t="s">
        <v>57</v>
      </c>
      <c r="E15" t="s">
        <v>51</v>
      </c>
      <c r="F15" t="s">
        <v>28</v>
      </c>
      <c r="G15">
        <v>0</v>
      </c>
      <c r="H15">
        <v>27</v>
      </c>
      <c r="I15" s="1">
        <f t="shared" si="0"/>
        <v>0</v>
      </c>
      <c r="J15" t="s">
        <v>55</v>
      </c>
      <c r="K15" t="s">
        <v>56</v>
      </c>
      <c r="L15" t="s">
        <v>57</v>
      </c>
      <c r="M15" t="s">
        <v>49</v>
      </c>
      <c r="N15" t="s">
        <v>50</v>
      </c>
    </row>
    <row r="16" spans="1:14">
      <c r="A16">
        <v>11048431</v>
      </c>
      <c r="B16" t="s">
        <v>52</v>
      </c>
      <c r="C16">
        <v>2000</v>
      </c>
      <c r="D16" t="s">
        <v>53</v>
      </c>
      <c r="E16" t="s">
        <v>51</v>
      </c>
      <c r="F16" t="s">
        <v>28</v>
      </c>
      <c r="G16">
        <v>27</v>
      </c>
      <c r="H16">
        <v>786</v>
      </c>
      <c r="I16" s="1">
        <f t="shared" si="0"/>
        <v>0.0343511450381679</v>
      </c>
      <c r="J16" t="s">
        <v>55</v>
      </c>
      <c r="K16" t="s">
        <v>56</v>
      </c>
      <c r="L16" t="s">
        <v>53</v>
      </c>
      <c r="M16" t="s">
        <v>49</v>
      </c>
      <c r="N16" t="s">
        <v>50</v>
      </c>
    </row>
    <row r="17" spans="1:14">
      <c r="A17">
        <v>11048431</v>
      </c>
      <c r="B17" t="s">
        <v>52</v>
      </c>
      <c r="C17">
        <v>2000</v>
      </c>
      <c r="D17" t="s">
        <v>53</v>
      </c>
      <c r="E17" t="s">
        <v>51</v>
      </c>
      <c r="F17" t="s">
        <v>17</v>
      </c>
      <c r="G17">
        <v>1</v>
      </c>
      <c r="H17">
        <v>786</v>
      </c>
      <c r="I17" s="1">
        <f t="shared" si="0"/>
        <v>0.00127226463104326</v>
      </c>
      <c r="J17" t="s">
        <v>55</v>
      </c>
      <c r="K17" t="s">
        <v>56</v>
      </c>
      <c r="L17" t="s">
        <v>53</v>
      </c>
      <c r="M17" t="s">
        <v>49</v>
      </c>
      <c r="N17" t="s">
        <v>50</v>
      </c>
    </row>
    <row r="18" spans="1:14">
      <c r="A18">
        <v>11083049</v>
      </c>
      <c r="B18" t="s">
        <v>58</v>
      </c>
      <c r="C18">
        <v>2000</v>
      </c>
      <c r="D18" t="s">
        <v>59</v>
      </c>
      <c r="E18" t="s">
        <v>51</v>
      </c>
      <c r="F18" t="s">
        <v>28</v>
      </c>
      <c r="G18">
        <v>3</v>
      </c>
      <c r="H18">
        <v>125</v>
      </c>
      <c r="I18" s="1">
        <f t="shared" si="0"/>
        <v>0.024</v>
      </c>
      <c r="J18" t="s">
        <v>60</v>
      </c>
      <c r="K18" t="s">
        <v>61</v>
      </c>
      <c r="L18" t="s">
        <v>59</v>
      </c>
      <c r="M18" t="s">
        <v>62</v>
      </c>
      <c r="N18" t="s">
        <v>50</v>
      </c>
    </row>
    <row r="19" spans="1:14">
      <c r="A19">
        <v>11083049</v>
      </c>
      <c r="B19" t="s">
        <v>58</v>
      </c>
      <c r="C19">
        <v>2000</v>
      </c>
      <c r="D19" t="s">
        <v>63</v>
      </c>
      <c r="E19" t="s">
        <v>51</v>
      </c>
      <c r="F19" t="s">
        <v>64</v>
      </c>
      <c r="G19">
        <v>0</v>
      </c>
      <c r="H19">
        <v>13</v>
      </c>
      <c r="I19" s="1">
        <f t="shared" si="0"/>
        <v>0</v>
      </c>
      <c r="J19" t="s">
        <v>60</v>
      </c>
      <c r="K19" t="s">
        <v>61</v>
      </c>
      <c r="L19" t="s">
        <v>63</v>
      </c>
      <c r="M19" t="s">
        <v>62</v>
      </c>
      <c r="N19" t="s">
        <v>50</v>
      </c>
    </row>
    <row r="20" spans="1:14">
      <c r="A20">
        <v>11083049</v>
      </c>
      <c r="B20" t="s">
        <v>58</v>
      </c>
      <c r="C20">
        <v>2000</v>
      </c>
      <c r="D20" t="s">
        <v>65</v>
      </c>
      <c r="E20" t="s">
        <v>51</v>
      </c>
      <c r="F20" t="s">
        <v>64</v>
      </c>
      <c r="G20">
        <v>0</v>
      </c>
      <c r="H20">
        <v>13</v>
      </c>
      <c r="I20" s="1">
        <f t="shared" si="0"/>
        <v>0</v>
      </c>
      <c r="J20" t="s">
        <v>60</v>
      </c>
      <c r="K20" t="s">
        <v>61</v>
      </c>
      <c r="L20" t="s">
        <v>65</v>
      </c>
      <c r="M20" t="s">
        <v>62</v>
      </c>
      <c r="N20" t="s">
        <v>50</v>
      </c>
    </row>
    <row r="21" spans="1:14">
      <c r="A21">
        <v>11083049</v>
      </c>
      <c r="B21" t="s">
        <v>58</v>
      </c>
      <c r="C21">
        <v>2000</v>
      </c>
      <c r="D21" t="s">
        <v>66</v>
      </c>
      <c r="E21" t="s">
        <v>51</v>
      </c>
      <c r="F21" t="s">
        <v>64</v>
      </c>
      <c r="G21">
        <v>0</v>
      </c>
      <c r="H21">
        <v>13</v>
      </c>
      <c r="I21" s="1">
        <f t="shared" si="0"/>
        <v>0</v>
      </c>
      <c r="J21" t="s">
        <v>60</v>
      </c>
      <c r="K21" t="s">
        <v>61</v>
      </c>
      <c r="L21" t="s">
        <v>66</v>
      </c>
      <c r="M21" t="s">
        <v>62</v>
      </c>
      <c r="N21" t="s">
        <v>50</v>
      </c>
    </row>
    <row r="22" spans="1:14">
      <c r="A22">
        <v>11271918</v>
      </c>
      <c r="B22" t="s">
        <v>67</v>
      </c>
      <c r="C22">
        <v>2001</v>
      </c>
      <c r="D22" t="s">
        <v>22</v>
      </c>
      <c r="E22" t="s">
        <v>48</v>
      </c>
      <c r="F22" t="s">
        <v>28</v>
      </c>
      <c r="G22">
        <v>37</v>
      </c>
      <c r="H22">
        <v>75</v>
      </c>
      <c r="I22" s="1">
        <f t="shared" si="0"/>
        <v>0.493333333333333</v>
      </c>
      <c r="J22" t="s">
        <v>23</v>
      </c>
      <c r="K22" t="s">
        <v>24</v>
      </c>
      <c r="L22" t="s">
        <v>22</v>
      </c>
      <c r="M22" t="s">
        <v>68</v>
      </c>
      <c r="N22" t="s">
        <v>30</v>
      </c>
    </row>
    <row r="23" ht="14" customHeight="1" spans="1:14">
      <c r="A23">
        <v>11514730</v>
      </c>
      <c r="B23" t="s">
        <v>69</v>
      </c>
      <c r="C23">
        <v>2001</v>
      </c>
      <c r="D23" t="s">
        <v>45</v>
      </c>
      <c r="E23" t="s">
        <v>51</v>
      </c>
      <c r="F23" t="s">
        <v>64</v>
      </c>
      <c r="G23">
        <v>2</v>
      </c>
      <c r="H23">
        <v>59</v>
      </c>
      <c r="I23" s="1">
        <f t="shared" si="0"/>
        <v>0.0338983050847458</v>
      </c>
      <c r="J23" t="s">
        <v>23</v>
      </c>
      <c r="K23" t="s">
        <v>46</v>
      </c>
      <c r="L23" t="s">
        <v>45</v>
      </c>
      <c r="M23" t="s">
        <v>70</v>
      </c>
      <c r="N23" t="s">
        <v>50</v>
      </c>
    </row>
    <row r="24" spans="1:14">
      <c r="A24">
        <v>11514730</v>
      </c>
      <c r="B24" t="s">
        <v>69</v>
      </c>
      <c r="C24">
        <v>2001</v>
      </c>
      <c r="D24" t="s">
        <v>71</v>
      </c>
      <c r="E24" t="s">
        <v>51</v>
      </c>
      <c r="F24" t="s">
        <v>64</v>
      </c>
      <c r="G24">
        <v>6</v>
      </c>
      <c r="H24">
        <v>59</v>
      </c>
      <c r="I24" s="1">
        <f t="shared" si="0"/>
        <v>0.101694915254237</v>
      </c>
      <c r="J24" t="s">
        <v>23</v>
      </c>
      <c r="K24" t="s">
        <v>72</v>
      </c>
      <c r="L24" t="s">
        <v>71</v>
      </c>
      <c r="M24" t="s">
        <v>70</v>
      </c>
      <c r="N24" t="s">
        <v>50</v>
      </c>
    </row>
    <row r="25" spans="1:14">
      <c r="A25">
        <v>11695403</v>
      </c>
      <c r="B25" t="s">
        <v>73</v>
      </c>
      <c r="C25">
        <v>2001</v>
      </c>
      <c r="D25" t="s">
        <v>45</v>
      </c>
      <c r="E25" t="s">
        <v>16</v>
      </c>
      <c r="F25" t="s">
        <v>41</v>
      </c>
      <c r="G25">
        <v>0</v>
      </c>
      <c r="H25">
        <v>32</v>
      </c>
      <c r="I25" s="1">
        <f t="shared" si="0"/>
        <v>0</v>
      </c>
      <c r="J25" t="s">
        <v>23</v>
      </c>
      <c r="K25" t="s">
        <v>46</v>
      </c>
      <c r="L25" t="s">
        <v>45</v>
      </c>
      <c r="M25" t="s">
        <v>20</v>
      </c>
      <c r="N25" t="s">
        <v>21</v>
      </c>
    </row>
    <row r="26" spans="1:14">
      <c r="A26">
        <v>12005452</v>
      </c>
      <c r="B26" t="s">
        <v>74</v>
      </c>
      <c r="C26">
        <v>2002</v>
      </c>
      <c r="D26" t="s">
        <v>22</v>
      </c>
      <c r="E26" t="s">
        <v>51</v>
      </c>
      <c r="F26" t="s">
        <v>64</v>
      </c>
      <c r="G26">
        <v>4</v>
      </c>
      <c r="H26">
        <v>4</v>
      </c>
      <c r="I26" s="1">
        <f t="shared" si="0"/>
        <v>1</v>
      </c>
      <c r="J26" t="s">
        <v>23</v>
      </c>
      <c r="K26" t="s">
        <v>24</v>
      </c>
      <c r="L26" t="s">
        <v>22</v>
      </c>
      <c r="M26" t="s">
        <v>75</v>
      </c>
      <c r="N26" t="s">
        <v>50</v>
      </c>
    </row>
    <row r="27" spans="1:14">
      <c r="A27">
        <v>12238391</v>
      </c>
      <c r="B27" t="s">
        <v>76</v>
      </c>
      <c r="C27">
        <v>2002</v>
      </c>
      <c r="D27" t="s">
        <v>15</v>
      </c>
      <c r="E27" t="s">
        <v>77</v>
      </c>
      <c r="F27" t="s">
        <v>28</v>
      </c>
      <c r="G27">
        <v>28</v>
      </c>
      <c r="H27">
        <v>78</v>
      </c>
      <c r="I27" s="1">
        <f t="shared" si="0"/>
        <v>0.358974358974359</v>
      </c>
      <c r="J27" t="s">
        <v>18</v>
      </c>
      <c r="K27" t="s">
        <v>19</v>
      </c>
      <c r="L27" t="s">
        <v>15</v>
      </c>
      <c r="M27" t="s">
        <v>78</v>
      </c>
      <c r="N27" t="s">
        <v>50</v>
      </c>
    </row>
    <row r="28" spans="1:14">
      <c r="A28">
        <v>12238391</v>
      </c>
      <c r="B28" t="s">
        <v>76</v>
      </c>
      <c r="C28">
        <v>2002</v>
      </c>
      <c r="D28" t="s">
        <v>79</v>
      </c>
      <c r="E28" t="s">
        <v>77</v>
      </c>
      <c r="F28" t="s">
        <v>28</v>
      </c>
      <c r="G28">
        <v>0</v>
      </c>
      <c r="H28">
        <v>78</v>
      </c>
      <c r="I28" s="1">
        <f t="shared" si="0"/>
        <v>0</v>
      </c>
      <c r="J28" t="s">
        <v>80</v>
      </c>
      <c r="K28" t="s">
        <v>81</v>
      </c>
      <c r="L28" t="s">
        <v>79</v>
      </c>
      <c r="M28" t="s">
        <v>78</v>
      </c>
      <c r="N28" t="s">
        <v>50</v>
      </c>
    </row>
    <row r="29" spans="1:14">
      <c r="A29">
        <v>12238391</v>
      </c>
      <c r="B29" t="s">
        <v>76</v>
      </c>
      <c r="C29">
        <v>2002</v>
      </c>
      <c r="D29" t="s">
        <v>82</v>
      </c>
      <c r="E29" t="s">
        <v>77</v>
      </c>
      <c r="F29" t="s">
        <v>28</v>
      </c>
      <c r="G29">
        <v>8</v>
      </c>
      <c r="H29">
        <v>78</v>
      </c>
      <c r="I29" s="1">
        <f t="shared" si="0"/>
        <v>0.102564102564103</v>
      </c>
      <c r="J29" t="s">
        <v>38</v>
      </c>
      <c r="K29" t="s">
        <v>39</v>
      </c>
      <c r="L29" t="s">
        <v>82</v>
      </c>
      <c r="M29" t="s">
        <v>78</v>
      </c>
      <c r="N29" t="s">
        <v>50</v>
      </c>
    </row>
    <row r="30" spans="1:14">
      <c r="A30">
        <v>12238391</v>
      </c>
      <c r="B30" t="s">
        <v>76</v>
      </c>
      <c r="C30">
        <v>2002</v>
      </c>
      <c r="D30" t="s">
        <v>83</v>
      </c>
      <c r="E30" t="s">
        <v>77</v>
      </c>
      <c r="F30" t="s">
        <v>28</v>
      </c>
      <c r="G30">
        <v>0</v>
      </c>
      <c r="H30">
        <v>78</v>
      </c>
      <c r="I30" s="1">
        <f t="shared" si="0"/>
        <v>0</v>
      </c>
      <c r="J30" t="s">
        <v>55</v>
      </c>
      <c r="K30" t="s">
        <v>56</v>
      </c>
      <c r="L30" t="s">
        <v>83</v>
      </c>
      <c r="M30" t="s">
        <v>78</v>
      </c>
      <c r="N30" t="s">
        <v>50</v>
      </c>
    </row>
    <row r="31" spans="1:14">
      <c r="A31">
        <v>12238391</v>
      </c>
      <c r="B31" t="s">
        <v>76</v>
      </c>
      <c r="C31">
        <v>2002</v>
      </c>
      <c r="D31" t="s">
        <v>84</v>
      </c>
      <c r="E31" t="s">
        <v>77</v>
      </c>
      <c r="F31" t="s">
        <v>28</v>
      </c>
      <c r="G31">
        <v>3</v>
      </c>
      <c r="H31">
        <v>78</v>
      </c>
      <c r="I31" s="1">
        <f t="shared" si="0"/>
        <v>0.0384615384615385</v>
      </c>
      <c r="J31" t="s">
        <v>85</v>
      </c>
      <c r="K31" t="s">
        <v>86</v>
      </c>
      <c r="L31" t="s">
        <v>84</v>
      </c>
      <c r="M31" t="s">
        <v>78</v>
      </c>
      <c r="N31" t="s">
        <v>50</v>
      </c>
    </row>
    <row r="32" spans="1:14">
      <c r="A32">
        <v>12238392</v>
      </c>
      <c r="B32" t="s">
        <v>87</v>
      </c>
      <c r="C32">
        <v>2002</v>
      </c>
      <c r="D32" t="s">
        <v>15</v>
      </c>
      <c r="E32" t="s">
        <v>77</v>
      </c>
      <c r="F32" t="s">
        <v>54</v>
      </c>
      <c r="G32">
        <v>138</v>
      </c>
      <c r="H32">
        <v>227</v>
      </c>
      <c r="I32" s="1">
        <f t="shared" si="0"/>
        <v>0.607929515418502</v>
      </c>
      <c r="J32" t="s">
        <v>18</v>
      </c>
      <c r="K32" t="s">
        <v>19</v>
      </c>
      <c r="L32" t="s">
        <v>15</v>
      </c>
      <c r="M32" t="s">
        <v>20</v>
      </c>
      <c r="N32" t="s">
        <v>21</v>
      </c>
    </row>
    <row r="33" spans="1:14">
      <c r="A33">
        <v>12381593</v>
      </c>
      <c r="B33" t="s">
        <v>88</v>
      </c>
      <c r="C33">
        <v>2002</v>
      </c>
      <c r="D33" t="s">
        <v>15</v>
      </c>
      <c r="E33" t="s">
        <v>77</v>
      </c>
      <c r="F33" t="s">
        <v>41</v>
      </c>
      <c r="G33">
        <v>9</v>
      </c>
      <c r="H33">
        <v>16</v>
      </c>
      <c r="I33" s="1">
        <f t="shared" si="0"/>
        <v>0.5625</v>
      </c>
      <c r="J33" t="s">
        <v>18</v>
      </c>
      <c r="K33" t="s">
        <v>19</v>
      </c>
      <c r="L33" t="s">
        <v>15</v>
      </c>
      <c r="M33" t="s">
        <v>78</v>
      </c>
      <c r="N33" t="s">
        <v>50</v>
      </c>
    </row>
    <row r="34" spans="1:14">
      <c r="A34">
        <v>12528458</v>
      </c>
      <c r="B34" t="s">
        <v>89</v>
      </c>
      <c r="C34">
        <v>2002</v>
      </c>
      <c r="D34" t="s">
        <v>22</v>
      </c>
      <c r="E34" t="s">
        <v>51</v>
      </c>
      <c r="F34" t="s">
        <v>17</v>
      </c>
      <c r="G34">
        <v>6</v>
      </c>
      <c r="H34">
        <v>44</v>
      </c>
      <c r="I34" s="1">
        <f t="shared" si="0"/>
        <v>0.136363636363636</v>
      </c>
      <c r="J34" t="s">
        <v>23</v>
      </c>
      <c r="K34" t="s">
        <v>24</v>
      </c>
      <c r="L34" t="s">
        <v>22</v>
      </c>
      <c r="M34" t="s">
        <v>90</v>
      </c>
      <c r="N34" t="s">
        <v>50</v>
      </c>
    </row>
    <row r="35" spans="1:14">
      <c r="A35">
        <v>1291591</v>
      </c>
      <c r="B35" t="s">
        <v>91</v>
      </c>
      <c r="C35">
        <v>1992</v>
      </c>
      <c r="D35" t="s">
        <v>22</v>
      </c>
      <c r="E35" t="s">
        <v>27</v>
      </c>
      <c r="F35" t="s">
        <v>54</v>
      </c>
      <c r="G35">
        <v>1</v>
      </c>
      <c r="H35">
        <v>1</v>
      </c>
      <c r="I35" s="1">
        <f t="shared" si="0"/>
        <v>1</v>
      </c>
      <c r="J35" t="s">
        <v>23</v>
      </c>
      <c r="K35" t="s">
        <v>24</v>
      </c>
      <c r="L35" t="s">
        <v>22</v>
      </c>
      <c r="M35" t="s">
        <v>68</v>
      </c>
      <c r="N35" t="s">
        <v>30</v>
      </c>
    </row>
    <row r="36" spans="1:14">
      <c r="A36">
        <v>12918819</v>
      </c>
      <c r="B36" t="s">
        <v>92</v>
      </c>
      <c r="C36">
        <v>2003</v>
      </c>
      <c r="D36" t="s">
        <v>93</v>
      </c>
      <c r="E36" t="s">
        <v>77</v>
      </c>
      <c r="F36" t="s">
        <v>64</v>
      </c>
      <c r="G36">
        <v>2</v>
      </c>
      <c r="H36">
        <v>4</v>
      </c>
      <c r="I36" s="1">
        <f t="shared" si="0"/>
        <v>0.5</v>
      </c>
      <c r="J36" t="s">
        <v>94</v>
      </c>
      <c r="K36" t="s">
        <v>95</v>
      </c>
      <c r="L36" t="s">
        <v>93</v>
      </c>
      <c r="M36" t="s">
        <v>96</v>
      </c>
      <c r="N36" t="s">
        <v>21</v>
      </c>
    </row>
    <row r="37" spans="1:14">
      <c r="A37">
        <v>12918819</v>
      </c>
      <c r="B37" t="s">
        <v>92</v>
      </c>
      <c r="C37">
        <v>2003</v>
      </c>
      <c r="D37" t="s">
        <v>79</v>
      </c>
      <c r="E37" t="s">
        <v>77</v>
      </c>
      <c r="F37" t="s">
        <v>64</v>
      </c>
      <c r="G37">
        <v>1</v>
      </c>
      <c r="H37">
        <v>4</v>
      </c>
      <c r="I37" s="1">
        <f t="shared" si="0"/>
        <v>0.25</v>
      </c>
      <c r="J37" t="s">
        <v>80</v>
      </c>
      <c r="K37" t="s">
        <v>81</v>
      </c>
      <c r="L37" t="s">
        <v>79</v>
      </c>
      <c r="M37" t="s">
        <v>96</v>
      </c>
      <c r="N37" t="s">
        <v>21</v>
      </c>
    </row>
    <row r="38" spans="1:14">
      <c r="A38" t="s">
        <v>97</v>
      </c>
      <c r="B38" t="s">
        <v>98</v>
      </c>
      <c r="C38">
        <v>2020</v>
      </c>
      <c r="D38" t="s">
        <v>99</v>
      </c>
      <c r="E38" t="s">
        <v>48</v>
      </c>
      <c r="F38" t="s">
        <v>64</v>
      </c>
      <c r="G38">
        <v>12</v>
      </c>
      <c r="H38">
        <v>12</v>
      </c>
      <c r="I38" s="1">
        <f t="shared" si="0"/>
        <v>1</v>
      </c>
      <c r="J38" t="s">
        <v>38</v>
      </c>
      <c r="K38" t="s">
        <v>39</v>
      </c>
      <c r="L38" t="s">
        <v>99</v>
      </c>
      <c r="M38" t="s">
        <v>29</v>
      </c>
      <c r="N38" t="s">
        <v>30</v>
      </c>
    </row>
    <row r="39" spans="1:14">
      <c r="A39">
        <v>1312645</v>
      </c>
      <c r="B39" t="s">
        <v>100</v>
      </c>
      <c r="C39">
        <v>1992</v>
      </c>
      <c r="D39" t="s">
        <v>22</v>
      </c>
      <c r="E39" t="s">
        <v>16</v>
      </c>
      <c r="F39" t="s">
        <v>101</v>
      </c>
      <c r="G39">
        <v>0</v>
      </c>
      <c r="H39">
        <v>1</v>
      </c>
      <c r="I39" s="1">
        <f t="shared" si="0"/>
        <v>0</v>
      </c>
      <c r="J39" t="s">
        <v>23</v>
      </c>
      <c r="K39" t="s">
        <v>24</v>
      </c>
      <c r="L39" t="s">
        <v>22</v>
      </c>
      <c r="M39" t="s">
        <v>20</v>
      </c>
      <c r="N39" t="s">
        <v>21</v>
      </c>
    </row>
    <row r="40" spans="1:14">
      <c r="A40">
        <v>1312645</v>
      </c>
      <c r="B40" t="s">
        <v>100</v>
      </c>
      <c r="C40">
        <v>1992</v>
      </c>
      <c r="D40" t="s">
        <v>45</v>
      </c>
      <c r="E40" t="s">
        <v>16</v>
      </c>
      <c r="F40" t="s">
        <v>41</v>
      </c>
      <c r="G40">
        <v>0</v>
      </c>
      <c r="H40">
        <v>1</v>
      </c>
      <c r="I40" s="1">
        <f t="shared" si="0"/>
        <v>0</v>
      </c>
      <c r="J40" t="s">
        <v>23</v>
      </c>
      <c r="K40" t="s">
        <v>46</v>
      </c>
      <c r="L40" t="s">
        <v>45</v>
      </c>
      <c r="M40" t="s">
        <v>20</v>
      </c>
      <c r="N40" t="s">
        <v>21</v>
      </c>
    </row>
    <row r="41" spans="1:14">
      <c r="A41">
        <v>14511581</v>
      </c>
      <c r="B41" t="s">
        <v>102</v>
      </c>
      <c r="C41">
        <v>2003</v>
      </c>
      <c r="D41" t="s">
        <v>45</v>
      </c>
      <c r="E41" t="s">
        <v>16</v>
      </c>
      <c r="F41" t="s">
        <v>64</v>
      </c>
      <c r="G41">
        <v>3</v>
      </c>
      <c r="H41">
        <v>3</v>
      </c>
      <c r="I41" s="1">
        <f t="shared" si="0"/>
        <v>1</v>
      </c>
      <c r="J41" t="s">
        <v>23</v>
      </c>
      <c r="K41" t="s">
        <v>46</v>
      </c>
      <c r="L41" t="s">
        <v>45</v>
      </c>
      <c r="M41" t="s">
        <v>103</v>
      </c>
      <c r="N41" t="s">
        <v>50</v>
      </c>
    </row>
    <row r="42" spans="1:14">
      <c r="A42">
        <v>14567217</v>
      </c>
      <c r="B42" t="s">
        <v>104</v>
      </c>
      <c r="C42">
        <v>2003</v>
      </c>
      <c r="D42" t="s">
        <v>15</v>
      </c>
      <c r="E42" t="s">
        <v>77</v>
      </c>
      <c r="F42" t="s">
        <v>64</v>
      </c>
      <c r="G42">
        <v>9</v>
      </c>
      <c r="H42">
        <v>16</v>
      </c>
      <c r="I42" s="1">
        <f t="shared" si="0"/>
        <v>0.5625</v>
      </c>
      <c r="J42" t="s">
        <v>18</v>
      </c>
      <c r="K42" t="s">
        <v>19</v>
      </c>
      <c r="L42" t="s">
        <v>15</v>
      </c>
      <c r="M42" t="s">
        <v>20</v>
      </c>
      <c r="N42" t="s">
        <v>21</v>
      </c>
    </row>
    <row r="43" spans="1:14">
      <c r="A43">
        <v>14682541</v>
      </c>
      <c r="B43" t="s">
        <v>105</v>
      </c>
      <c r="C43">
        <v>2003</v>
      </c>
      <c r="D43" t="s">
        <v>106</v>
      </c>
      <c r="E43" t="s">
        <v>77</v>
      </c>
      <c r="F43" t="s">
        <v>17</v>
      </c>
      <c r="G43">
        <v>0</v>
      </c>
      <c r="H43">
        <v>208</v>
      </c>
      <c r="I43" s="1">
        <f t="shared" si="0"/>
        <v>0</v>
      </c>
      <c r="J43" t="s">
        <v>35</v>
      </c>
      <c r="K43" t="s">
        <v>107</v>
      </c>
      <c r="L43" t="s">
        <v>106</v>
      </c>
      <c r="M43" t="s">
        <v>108</v>
      </c>
      <c r="N43" t="s">
        <v>50</v>
      </c>
    </row>
    <row r="44" spans="1:14">
      <c r="A44">
        <v>1474656</v>
      </c>
      <c r="B44" t="s">
        <v>109</v>
      </c>
      <c r="C44">
        <v>1992</v>
      </c>
      <c r="D44" t="s">
        <v>110</v>
      </c>
      <c r="E44" t="s">
        <v>51</v>
      </c>
      <c r="F44" t="s">
        <v>17</v>
      </c>
      <c r="G44">
        <v>47</v>
      </c>
      <c r="H44">
        <v>47</v>
      </c>
      <c r="I44" s="1">
        <f t="shared" si="0"/>
        <v>1</v>
      </c>
      <c r="J44" t="s">
        <v>43</v>
      </c>
      <c r="K44" t="s">
        <v>44</v>
      </c>
      <c r="L44" t="s">
        <v>110</v>
      </c>
      <c r="M44" t="s">
        <v>20</v>
      </c>
      <c r="N44" t="s">
        <v>21</v>
      </c>
    </row>
    <row r="45" spans="1:14">
      <c r="A45">
        <v>1474656</v>
      </c>
      <c r="B45" t="s">
        <v>109</v>
      </c>
      <c r="C45">
        <v>1992</v>
      </c>
      <c r="D45" t="s">
        <v>111</v>
      </c>
      <c r="E45" t="s">
        <v>51</v>
      </c>
      <c r="F45" t="s">
        <v>17</v>
      </c>
      <c r="G45">
        <v>1</v>
      </c>
      <c r="H45">
        <v>39</v>
      </c>
      <c r="I45" s="1">
        <f t="shared" si="0"/>
        <v>0.0256410256410256</v>
      </c>
      <c r="J45" t="s">
        <v>18</v>
      </c>
      <c r="K45" t="s">
        <v>19</v>
      </c>
      <c r="L45" t="s">
        <v>111</v>
      </c>
      <c r="M45" t="s">
        <v>20</v>
      </c>
      <c r="N45" t="s">
        <v>21</v>
      </c>
    </row>
    <row r="46" spans="1:14">
      <c r="A46">
        <v>1474656</v>
      </c>
      <c r="B46" t="s">
        <v>109</v>
      </c>
      <c r="C46">
        <v>1992</v>
      </c>
      <c r="D46" t="s">
        <v>112</v>
      </c>
      <c r="E46" t="s">
        <v>51</v>
      </c>
      <c r="F46" t="s">
        <v>17</v>
      </c>
      <c r="G46">
        <v>0</v>
      </c>
      <c r="H46">
        <v>46</v>
      </c>
      <c r="I46" s="1">
        <f t="shared" si="0"/>
        <v>0</v>
      </c>
      <c r="J46" t="s">
        <v>80</v>
      </c>
      <c r="K46" t="s">
        <v>113</v>
      </c>
      <c r="L46" t="s">
        <v>112</v>
      </c>
      <c r="M46" t="s">
        <v>20</v>
      </c>
      <c r="N46" t="s">
        <v>21</v>
      </c>
    </row>
    <row r="47" spans="1:14">
      <c r="A47">
        <v>1474656</v>
      </c>
      <c r="B47" t="s">
        <v>109</v>
      </c>
      <c r="C47">
        <v>1992</v>
      </c>
      <c r="D47" t="s">
        <v>114</v>
      </c>
      <c r="E47" t="s">
        <v>51</v>
      </c>
      <c r="F47" t="s">
        <v>17</v>
      </c>
      <c r="G47">
        <v>31</v>
      </c>
      <c r="H47">
        <v>42</v>
      </c>
      <c r="I47" s="1">
        <f t="shared" si="0"/>
        <v>0.738095238095238</v>
      </c>
      <c r="J47" t="s">
        <v>23</v>
      </c>
      <c r="K47" t="s">
        <v>24</v>
      </c>
      <c r="L47" t="s">
        <v>114</v>
      </c>
      <c r="M47" t="s">
        <v>20</v>
      </c>
      <c r="N47" t="s">
        <v>21</v>
      </c>
    </row>
    <row r="48" spans="1:14">
      <c r="A48">
        <v>1474656</v>
      </c>
      <c r="B48" t="s">
        <v>109</v>
      </c>
      <c r="C48">
        <v>1992</v>
      </c>
      <c r="D48" t="s">
        <v>115</v>
      </c>
      <c r="E48" t="s">
        <v>51</v>
      </c>
      <c r="F48" t="s">
        <v>17</v>
      </c>
      <c r="G48">
        <v>48</v>
      </c>
      <c r="H48">
        <v>48</v>
      </c>
      <c r="I48" s="1">
        <f t="shared" si="0"/>
        <v>1</v>
      </c>
      <c r="J48" t="s">
        <v>38</v>
      </c>
      <c r="K48" t="s">
        <v>39</v>
      </c>
      <c r="L48" t="s">
        <v>115</v>
      </c>
      <c r="M48" t="s">
        <v>20</v>
      </c>
      <c r="N48" t="s">
        <v>21</v>
      </c>
    </row>
    <row r="49" spans="1:14">
      <c r="A49">
        <v>1512869</v>
      </c>
      <c r="B49" t="s">
        <v>116</v>
      </c>
      <c r="C49">
        <v>1992</v>
      </c>
      <c r="D49" t="s">
        <v>45</v>
      </c>
      <c r="E49" t="s">
        <v>16</v>
      </c>
      <c r="F49" t="s">
        <v>41</v>
      </c>
      <c r="G49">
        <v>51</v>
      </c>
      <c r="H49">
        <v>985</v>
      </c>
      <c r="I49" s="1">
        <f t="shared" si="0"/>
        <v>0.0517766497461929</v>
      </c>
      <c r="J49" t="s">
        <v>23</v>
      </c>
      <c r="K49" t="s">
        <v>46</v>
      </c>
      <c r="L49" t="s">
        <v>45</v>
      </c>
      <c r="M49" t="s">
        <v>20</v>
      </c>
      <c r="N49" t="s">
        <v>21</v>
      </c>
    </row>
    <row r="50" spans="1:14">
      <c r="A50">
        <v>15362832</v>
      </c>
      <c r="B50" t="s">
        <v>117</v>
      </c>
      <c r="C50">
        <v>2004</v>
      </c>
      <c r="D50" t="s">
        <v>15</v>
      </c>
      <c r="E50" t="s">
        <v>77</v>
      </c>
      <c r="F50" t="s">
        <v>54</v>
      </c>
      <c r="G50">
        <v>38</v>
      </c>
      <c r="H50">
        <v>100</v>
      </c>
      <c r="I50" s="1">
        <f t="shared" si="0"/>
        <v>0.38</v>
      </c>
      <c r="J50" t="s">
        <v>18</v>
      </c>
      <c r="K50" t="s">
        <v>19</v>
      </c>
      <c r="L50" t="s">
        <v>15</v>
      </c>
      <c r="M50" t="s">
        <v>20</v>
      </c>
      <c r="N50" t="s">
        <v>21</v>
      </c>
    </row>
    <row r="51" spans="1:14">
      <c r="A51">
        <v>15470973</v>
      </c>
      <c r="B51" t="s">
        <v>40</v>
      </c>
      <c r="C51">
        <v>2004</v>
      </c>
      <c r="D51" t="s">
        <v>45</v>
      </c>
      <c r="E51" t="s">
        <v>16</v>
      </c>
      <c r="F51" t="s">
        <v>41</v>
      </c>
      <c r="G51">
        <v>0</v>
      </c>
      <c r="H51">
        <v>1</v>
      </c>
      <c r="I51" s="1">
        <f t="shared" si="0"/>
        <v>0</v>
      </c>
      <c r="J51" t="s">
        <v>23</v>
      </c>
      <c r="K51" t="s">
        <v>46</v>
      </c>
      <c r="L51" t="s">
        <v>45</v>
      </c>
      <c r="M51" t="s">
        <v>20</v>
      </c>
      <c r="N51" t="s">
        <v>21</v>
      </c>
    </row>
    <row r="52" spans="1:14">
      <c r="A52">
        <v>1548804</v>
      </c>
      <c r="B52" t="s">
        <v>118</v>
      </c>
      <c r="C52">
        <v>1992</v>
      </c>
      <c r="D52" t="s">
        <v>119</v>
      </c>
      <c r="E52" t="s">
        <v>16</v>
      </c>
      <c r="F52" t="s">
        <v>17</v>
      </c>
      <c r="G52">
        <v>0</v>
      </c>
      <c r="H52">
        <v>49</v>
      </c>
      <c r="I52" s="1">
        <f t="shared" si="0"/>
        <v>0</v>
      </c>
      <c r="J52" t="s">
        <v>120</v>
      </c>
      <c r="K52" t="s">
        <v>121</v>
      </c>
      <c r="L52" t="s">
        <v>119</v>
      </c>
      <c r="M52" t="s">
        <v>20</v>
      </c>
      <c r="N52" t="s">
        <v>21</v>
      </c>
    </row>
    <row r="53" spans="1:14">
      <c r="A53">
        <v>1548804</v>
      </c>
      <c r="B53" t="s">
        <v>118</v>
      </c>
      <c r="C53">
        <v>1992</v>
      </c>
      <c r="D53" t="s">
        <v>22</v>
      </c>
      <c r="E53" t="s">
        <v>16</v>
      </c>
      <c r="F53" t="s">
        <v>101</v>
      </c>
      <c r="G53">
        <v>11</v>
      </c>
      <c r="H53">
        <v>30</v>
      </c>
      <c r="I53" s="1">
        <f t="shared" si="0"/>
        <v>0.366666666666667</v>
      </c>
      <c r="J53" t="s">
        <v>23</v>
      </c>
      <c r="K53" t="s">
        <v>24</v>
      </c>
      <c r="L53" t="s">
        <v>22</v>
      </c>
      <c r="M53" t="s">
        <v>20</v>
      </c>
      <c r="N53" t="s">
        <v>21</v>
      </c>
    </row>
    <row r="54" spans="1:14">
      <c r="A54">
        <v>1548804</v>
      </c>
      <c r="B54" t="s">
        <v>118</v>
      </c>
      <c r="C54">
        <v>1992</v>
      </c>
      <c r="D54" t="s">
        <v>110</v>
      </c>
      <c r="E54" t="s">
        <v>16</v>
      </c>
      <c r="F54" t="s">
        <v>17</v>
      </c>
      <c r="G54">
        <v>7</v>
      </c>
      <c r="H54">
        <v>49</v>
      </c>
      <c r="I54" s="1">
        <f t="shared" si="0"/>
        <v>0.142857142857143</v>
      </c>
      <c r="J54" t="s">
        <v>43</v>
      </c>
      <c r="K54" t="s">
        <v>44</v>
      </c>
      <c r="L54" t="s">
        <v>110</v>
      </c>
      <c r="M54" t="s">
        <v>20</v>
      </c>
      <c r="N54" t="s">
        <v>21</v>
      </c>
    </row>
    <row r="55" spans="1:14">
      <c r="A55">
        <v>1548804</v>
      </c>
      <c r="B55" t="s">
        <v>118</v>
      </c>
      <c r="C55">
        <v>1992</v>
      </c>
      <c r="D55" t="s">
        <v>45</v>
      </c>
      <c r="E55" t="s">
        <v>16</v>
      </c>
      <c r="F55" t="s">
        <v>41</v>
      </c>
      <c r="G55">
        <v>0</v>
      </c>
      <c r="H55">
        <v>67</v>
      </c>
      <c r="I55" s="1">
        <f t="shared" si="0"/>
        <v>0</v>
      </c>
      <c r="J55" t="s">
        <v>23</v>
      </c>
      <c r="K55" t="s">
        <v>46</v>
      </c>
      <c r="L55" t="s">
        <v>45</v>
      </c>
      <c r="M55" t="s">
        <v>20</v>
      </c>
      <c r="N55" t="s">
        <v>21</v>
      </c>
    </row>
    <row r="56" spans="1:14">
      <c r="A56">
        <v>15507154</v>
      </c>
      <c r="B56" t="s">
        <v>122</v>
      </c>
      <c r="C56">
        <v>2004</v>
      </c>
      <c r="D56" t="s">
        <v>22</v>
      </c>
      <c r="E56" t="s">
        <v>16</v>
      </c>
      <c r="F56" t="s">
        <v>64</v>
      </c>
      <c r="G56">
        <v>36</v>
      </c>
      <c r="H56">
        <v>88</v>
      </c>
      <c r="I56" s="1">
        <f t="shared" si="0"/>
        <v>0.409090909090909</v>
      </c>
      <c r="J56" t="s">
        <v>23</v>
      </c>
      <c r="K56" t="s">
        <v>24</v>
      </c>
      <c r="L56" t="s">
        <v>22</v>
      </c>
      <c r="M56" t="s">
        <v>20</v>
      </c>
      <c r="N56" t="s">
        <v>21</v>
      </c>
    </row>
    <row r="57" spans="1:14">
      <c r="A57">
        <v>15567444</v>
      </c>
      <c r="B57" t="s">
        <v>123</v>
      </c>
      <c r="C57">
        <v>2004</v>
      </c>
      <c r="D57" t="s">
        <v>124</v>
      </c>
      <c r="E57" t="s">
        <v>77</v>
      </c>
      <c r="F57" t="s">
        <v>64</v>
      </c>
      <c r="G57">
        <v>3</v>
      </c>
      <c r="H57">
        <v>7</v>
      </c>
      <c r="I57" s="1">
        <f t="shared" si="0"/>
        <v>0.428571428571429</v>
      </c>
      <c r="J57" t="s">
        <v>125</v>
      </c>
      <c r="K57" t="s">
        <v>126</v>
      </c>
      <c r="L57" t="s">
        <v>124</v>
      </c>
      <c r="M57" t="s">
        <v>68</v>
      </c>
      <c r="N57" t="s">
        <v>30</v>
      </c>
    </row>
    <row r="58" spans="1:14">
      <c r="A58">
        <v>15644610</v>
      </c>
      <c r="B58" t="s">
        <v>127</v>
      </c>
      <c r="C58">
        <v>2004</v>
      </c>
      <c r="D58" t="s">
        <v>22</v>
      </c>
      <c r="E58" t="s">
        <v>27</v>
      </c>
      <c r="F58" t="s">
        <v>128</v>
      </c>
      <c r="G58">
        <v>2</v>
      </c>
      <c r="H58">
        <v>2</v>
      </c>
      <c r="I58" s="1">
        <f t="shared" si="0"/>
        <v>1</v>
      </c>
      <c r="J58" t="s">
        <v>23</v>
      </c>
      <c r="K58" t="s">
        <v>24</v>
      </c>
      <c r="L58" t="s">
        <v>22</v>
      </c>
      <c r="M58" t="s">
        <v>68</v>
      </c>
      <c r="N58" t="s">
        <v>30</v>
      </c>
    </row>
    <row r="59" spans="1:14">
      <c r="A59">
        <v>15768102</v>
      </c>
      <c r="B59" t="s">
        <v>129</v>
      </c>
      <c r="C59">
        <v>2004</v>
      </c>
      <c r="D59" t="s">
        <v>130</v>
      </c>
      <c r="E59" t="s">
        <v>131</v>
      </c>
      <c r="F59" t="s">
        <v>28</v>
      </c>
      <c r="G59">
        <v>4</v>
      </c>
      <c r="H59">
        <v>73</v>
      </c>
      <c r="I59" s="1">
        <f t="shared" si="0"/>
        <v>0.0547945205479452</v>
      </c>
      <c r="J59" t="s">
        <v>132</v>
      </c>
      <c r="K59" t="s">
        <v>36</v>
      </c>
      <c r="L59" t="s">
        <v>130</v>
      </c>
      <c r="M59" t="s">
        <v>133</v>
      </c>
      <c r="N59" t="s">
        <v>134</v>
      </c>
    </row>
    <row r="60" spans="1:14">
      <c r="A60">
        <v>15815150</v>
      </c>
      <c r="B60" t="s">
        <v>135</v>
      </c>
      <c r="C60">
        <v>2005</v>
      </c>
      <c r="D60" t="s">
        <v>53</v>
      </c>
      <c r="E60" t="s">
        <v>51</v>
      </c>
      <c r="F60" t="s">
        <v>28</v>
      </c>
      <c r="G60">
        <v>2</v>
      </c>
      <c r="H60">
        <v>399</v>
      </c>
      <c r="I60" s="1">
        <f t="shared" si="0"/>
        <v>0.0050125313283208</v>
      </c>
      <c r="J60" t="s">
        <v>55</v>
      </c>
      <c r="K60" t="s">
        <v>56</v>
      </c>
      <c r="L60" t="s">
        <v>53</v>
      </c>
      <c r="M60" t="s">
        <v>108</v>
      </c>
      <c r="N60" t="s">
        <v>50</v>
      </c>
    </row>
    <row r="61" spans="1:14">
      <c r="A61">
        <v>15815150</v>
      </c>
      <c r="B61" t="s">
        <v>135</v>
      </c>
      <c r="C61">
        <v>2005</v>
      </c>
      <c r="D61" t="s">
        <v>53</v>
      </c>
      <c r="E61" t="s">
        <v>51</v>
      </c>
      <c r="F61" t="s">
        <v>28</v>
      </c>
      <c r="G61">
        <v>2</v>
      </c>
      <c r="H61">
        <v>399</v>
      </c>
      <c r="I61" s="1">
        <f t="shared" si="0"/>
        <v>0.0050125313283208</v>
      </c>
      <c r="J61" t="s">
        <v>55</v>
      </c>
      <c r="K61" t="s">
        <v>56</v>
      </c>
      <c r="L61" t="s">
        <v>53</v>
      </c>
      <c r="M61" t="s">
        <v>49</v>
      </c>
      <c r="N61" t="s">
        <v>50</v>
      </c>
    </row>
    <row r="62" spans="1:14">
      <c r="A62">
        <v>15815150</v>
      </c>
      <c r="B62" t="s">
        <v>135</v>
      </c>
      <c r="C62">
        <v>2005</v>
      </c>
      <c r="D62" t="s">
        <v>53</v>
      </c>
      <c r="E62" t="s">
        <v>77</v>
      </c>
      <c r="F62" t="s">
        <v>28</v>
      </c>
      <c r="G62">
        <v>49</v>
      </c>
      <c r="H62">
        <v>666</v>
      </c>
      <c r="I62" s="1">
        <f t="shared" si="0"/>
        <v>0.0735735735735736</v>
      </c>
      <c r="J62" t="s">
        <v>55</v>
      </c>
      <c r="K62" t="s">
        <v>56</v>
      </c>
      <c r="L62" t="s">
        <v>53</v>
      </c>
      <c r="M62" t="s">
        <v>108</v>
      </c>
      <c r="N62" t="s">
        <v>50</v>
      </c>
    </row>
    <row r="63" spans="1:14">
      <c r="A63">
        <v>15815150</v>
      </c>
      <c r="B63" t="s">
        <v>135</v>
      </c>
      <c r="C63">
        <v>2005</v>
      </c>
      <c r="D63" t="s">
        <v>53</v>
      </c>
      <c r="E63" t="s">
        <v>77</v>
      </c>
      <c r="F63" t="s">
        <v>28</v>
      </c>
      <c r="G63">
        <v>49</v>
      </c>
      <c r="H63">
        <v>666</v>
      </c>
      <c r="I63" s="1">
        <f t="shared" si="0"/>
        <v>0.0735735735735736</v>
      </c>
      <c r="J63" t="s">
        <v>55</v>
      </c>
      <c r="K63" t="s">
        <v>56</v>
      </c>
      <c r="L63" t="s">
        <v>53</v>
      </c>
      <c r="M63" t="s">
        <v>49</v>
      </c>
      <c r="N63" t="s">
        <v>50</v>
      </c>
    </row>
    <row r="64" spans="1:14">
      <c r="A64">
        <v>15816194</v>
      </c>
      <c r="B64" t="s">
        <v>76</v>
      </c>
      <c r="C64">
        <v>2005</v>
      </c>
      <c r="D64" t="s">
        <v>15</v>
      </c>
      <c r="E64" t="s">
        <v>77</v>
      </c>
      <c r="F64" t="s">
        <v>28</v>
      </c>
      <c r="G64">
        <v>306</v>
      </c>
      <c r="H64">
        <v>693</v>
      </c>
      <c r="I64" s="1">
        <f t="shared" si="0"/>
        <v>0.441558441558442</v>
      </c>
      <c r="J64" t="s">
        <v>18</v>
      </c>
      <c r="K64" t="s">
        <v>19</v>
      </c>
      <c r="L64" t="s">
        <v>15</v>
      </c>
      <c r="M64" t="s">
        <v>78</v>
      </c>
      <c r="N64" t="s">
        <v>50</v>
      </c>
    </row>
    <row r="65" spans="1:14">
      <c r="A65">
        <v>15827228</v>
      </c>
      <c r="B65" t="s">
        <v>136</v>
      </c>
      <c r="C65">
        <v>2005</v>
      </c>
      <c r="D65" t="s">
        <v>115</v>
      </c>
      <c r="E65" t="s">
        <v>48</v>
      </c>
      <c r="F65" t="s">
        <v>137</v>
      </c>
      <c r="G65">
        <v>2</v>
      </c>
      <c r="H65">
        <v>33</v>
      </c>
      <c r="I65" s="1">
        <f t="shared" si="0"/>
        <v>0.0606060606060606</v>
      </c>
      <c r="J65" t="s">
        <v>38</v>
      </c>
      <c r="K65" t="s">
        <v>39</v>
      </c>
      <c r="L65" t="s">
        <v>115</v>
      </c>
      <c r="M65" t="s">
        <v>49</v>
      </c>
      <c r="N65" t="s">
        <v>50</v>
      </c>
    </row>
    <row r="66" spans="1:14">
      <c r="A66">
        <v>15827228</v>
      </c>
      <c r="B66" t="s">
        <v>136</v>
      </c>
      <c r="C66">
        <v>2005</v>
      </c>
      <c r="D66" t="s">
        <v>115</v>
      </c>
      <c r="E66" t="s">
        <v>51</v>
      </c>
      <c r="F66" t="s">
        <v>137</v>
      </c>
      <c r="G66">
        <v>143</v>
      </c>
      <c r="H66">
        <v>1442</v>
      </c>
      <c r="I66" s="1">
        <f t="shared" si="0"/>
        <v>0.0991678224687933</v>
      </c>
      <c r="J66" t="s">
        <v>38</v>
      </c>
      <c r="K66" t="s">
        <v>39</v>
      </c>
      <c r="L66" t="s">
        <v>115</v>
      </c>
      <c r="M66" t="s">
        <v>49</v>
      </c>
      <c r="N66" t="s">
        <v>50</v>
      </c>
    </row>
    <row r="67" spans="1:14">
      <c r="A67">
        <v>15872219</v>
      </c>
      <c r="B67" t="s">
        <v>138</v>
      </c>
      <c r="C67">
        <v>2005</v>
      </c>
      <c r="D67" t="s">
        <v>139</v>
      </c>
      <c r="E67" t="s">
        <v>27</v>
      </c>
      <c r="F67" t="s">
        <v>64</v>
      </c>
      <c r="G67">
        <v>7</v>
      </c>
      <c r="H67">
        <v>7</v>
      </c>
      <c r="I67" s="1">
        <f t="shared" ref="I67:I130" si="1">G67/H67</f>
        <v>1</v>
      </c>
      <c r="J67" t="s">
        <v>80</v>
      </c>
      <c r="K67" t="s">
        <v>113</v>
      </c>
      <c r="L67" t="s">
        <v>139</v>
      </c>
      <c r="M67" t="s">
        <v>29</v>
      </c>
      <c r="N67" t="s">
        <v>30</v>
      </c>
    </row>
    <row r="68" spans="1:14">
      <c r="A68">
        <v>15953649</v>
      </c>
      <c r="B68" t="s">
        <v>140</v>
      </c>
      <c r="C68">
        <v>2005</v>
      </c>
      <c r="D68" t="s">
        <v>83</v>
      </c>
      <c r="E68" t="s">
        <v>77</v>
      </c>
      <c r="F68" t="s">
        <v>64</v>
      </c>
      <c r="G68">
        <v>9</v>
      </c>
      <c r="H68">
        <v>889</v>
      </c>
      <c r="I68" s="1">
        <f t="shared" si="1"/>
        <v>0.0101237345331834</v>
      </c>
      <c r="J68" t="s">
        <v>55</v>
      </c>
      <c r="K68" t="s">
        <v>56</v>
      </c>
      <c r="L68" t="s">
        <v>83</v>
      </c>
      <c r="M68" t="s">
        <v>62</v>
      </c>
      <c r="N68" t="s">
        <v>50</v>
      </c>
    </row>
    <row r="69" spans="1:14">
      <c r="A69">
        <v>15958682</v>
      </c>
      <c r="B69" t="s">
        <v>141</v>
      </c>
      <c r="C69">
        <v>2005</v>
      </c>
      <c r="D69" t="s">
        <v>142</v>
      </c>
      <c r="E69" t="s">
        <v>16</v>
      </c>
      <c r="F69" t="s">
        <v>64</v>
      </c>
      <c r="G69">
        <v>1</v>
      </c>
      <c r="H69">
        <v>1</v>
      </c>
      <c r="I69" s="1">
        <f t="shared" si="1"/>
        <v>1</v>
      </c>
      <c r="J69" t="s">
        <v>143</v>
      </c>
      <c r="K69" t="s">
        <v>144</v>
      </c>
      <c r="L69" t="s">
        <v>142</v>
      </c>
      <c r="M69" t="s">
        <v>96</v>
      </c>
      <c r="N69" t="s">
        <v>21</v>
      </c>
    </row>
    <row r="70" spans="1:14">
      <c r="A70">
        <v>15986915</v>
      </c>
      <c r="B70" t="s">
        <v>145</v>
      </c>
      <c r="C70">
        <v>2005</v>
      </c>
      <c r="D70" t="s">
        <v>111</v>
      </c>
      <c r="E70" t="s">
        <v>51</v>
      </c>
      <c r="F70" t="s">
        <v>28</v>
      </c>
      <c r="G70">
        <v>28</v>
      </c>
      <c r="H70">
        <v>1300</v>
      </c>
      <c r="I70" s="1">
        <f t="shared" si="1"/>
        <v>0.0215384615384615</v>
      </c>
      <c r="J70" t="s">
        <v>18</v>
      </c>
      <c r="K70" t="s">
        <v>19</v>
      </c>
      <c r="L70" t="s">
        <v>111</v>
      </c>
      <c r="M70" t="s">
        <v>146</v>
      </c>
      <c r="N70" t="s">
        <v>134</v>
      </c>
    </row>
    <row r="71" spans="1:14">
      <c r="A71">
        <v>15986915</v>
      </c>
      <c r="B71" t="s">
        <v>145</v>
      </c>
      <c r="C71">
        <v>2005</v>
      </c>
      <c r="D71" t="s">
        <v>110</v>
      </c>
      <c r="E71" t="s">
        <v>51</v>
      </c>
      <c r="F71" t="s">
        <v>28</v>
      </c>
      <c r="G71">
        <v>308</v>
      </c>
      <c r="H71">
        <v>1326</v>
      </c>
      <c r="I71" s="1">
        <f t="shared" si="1"/>
        <v>0.232277526395173</v>
      </c>
      <c r="J71" t="s">
        <v>43</v>
      </c>
      <c r="K71" t="s">
        <v>44</v>
      </c>
      <c r="L71" t="s">
        <v>110</v>
      </c>
      <c r="M71" t="s">
        <v>146</v>
      </c>
      <c r="N71" t="s">
        <v>134</v>
      </c>
    </row>
    <row r="72" spans="1:14">
      <c r="A72">
        <v>15986915</v>
      </c>
      <c r="B72" t="s">
        <v>145</v>
      </c>
      <c r="C72">
        <v>2005</v>
      </c>
      <c r="D72" t="s">
        <v>111</v>
      </c>
      <c r="E72" t="s">
        <v>51</v>
      </c>
      <c r="F72" t="s">
        <v>28</v>
      </c>
      <c r="G72">
        <v>28</v>
      </c>
      <c r="H72">
        <v>1300</v>
      </c>
      <c r="I72" s="1">
        <f t="shared" si="1"/>
        <v>0.0215384615384615</v>
      </c>
      <c r="J72" t="s">
        <v>18</v>
      </c>
      <c r="K72" t="s">
        <v>19</v>
      </c>
      <c r="L72" t="s">
        <v>111</v>
      </c>
      <c r="M72" t="s">
        <v>146</v>
      </c>
      <c r="N72" t="s">
        <v>134</v>
      </c>
    </row>
    <row r="73" spans="1:14">
      <c r="A73">
        <v>15986915</v>
      </c>
      <c r="B73" t="s">
        <v>145</v>
      </c>
      <c r="C73">
        <v>2005</v>
      </c>
      <c r="D73" t="s">
        <v>110</v>
      </c>
      <c r="E73" t="s">
        <v>51</v>
      </c>
      <c r="F73" t="s">
        <v>28</v>
      </c>
      <c r="G73">
        <v>308</v>
      </c>
      <c r="H73">
        <v>1326</v>
      </c>
      <c r="I73" s="1">
        <f t="shared" si="1"/>
        <v>0.232277526395173</v>
      </c>
      <c r="J73" t="s">
        <v>43</v>
      </c>
      <c r="K73" t="s">
        <v>44</v>
      </c>
      <c r="L73" t="s">
        <v>110</v>
      </c>
      <c r="M73" t="s">
        <v>146</v>
      </c>
      <c r="N73" t="s">
        <v>134</v>
      </c>
    </row>
    <row r="74" spans="1:14">
      <c r="A74">
        <v>1598857</v>
      </c>
      <c r="B74" t="s">
        <v>147</v>
      </c>
      <c r="C74">
        <v>1992</v>
      </c>
      <c r="D74" t="s">
        <v>45</v>
      </c>
      <c r="E74" t="s">
        <v>51</v>
      </c>
      <c r="F74" t="s">
        <v>41</v>
      </c>
      <c r="G74">
        <v>12</v>
      </c>
      <c r="H74">
        <v>680</v>
      </c>
      <c r="I74" s="1">
        <f t="shared" si="1"/>
        <v>0.0176470588235294</v>
      </c>
      <c r="J74" t="s">
        <v>23</v>
      </c>
      <c r="K74" t="s">
        <v>46</v>
      </c>
      <c r="L74" t="s">
        <v>45</v>
      </c>
      <c r="M74" t="s">
        <v>148</v>
      </c>
      <c r="N74" t="s">
        <v>50</v>
      </c>
    </row>
    <row r="75" spans="1:14">
      <c r="A75">
        <v>1598857</v>
      </c>
      <c r="B75" t="s">
        <v>147</v>
      </c>
      <c r="C75">
        <v>1992</v>
      </c>
      <c r="D75" t="s">
        <v>45</v>
      </c>
      <c r="E75" t="s">
        <v>48</v>
      </c>
      <c r="F75" t="s">
        <v>41</v>
      </c>
      <c r="G75">
        <v>48</v>
      </c>
      <c r="H75">
        <v>1444</v>
      </c>
      <c r="I75" s="1">
        <f t="shared" si="1"/>
        <v>0.0332409972299169</v>
      </c>
      <c r="J75" t="s">
        <v>23</v>
      </c>
      <c r="K75" t="s">
        <v>46</v>
      </c>
      <c r="L75" t="s">
        <v>45</v>
      </c>
      <c r="M75" t="s">
        <v>148</v>
      </c>
      <c r="N75" t="s">
        <v>50</v>
      </c>
    </row>
    <row r="76" spans="1:14">
      <c r="A76">
        <v>15997182</v>
      </c>
      <c r="B76" t="s">
        <v>149</v>
      </c>
      <c r="C76">
        <v>2005</v>
      </c>
      <c r="D76" t="s">
        <v>15</v>
      </c>
      <c r="E76" t="s">
        <v>77</v>
      </c>
      <c r="F76" t="s">
        <v>64</v>
      </c>
      <c r="G76">
        <v>0</v>
      </c>
      <c r="H76">
        <v>113</v>
      </c>
      <c r="I76" s="1">
        <f t="shared" si="1"/>
        <v>0</v>
      </c>
      <c r="J76" t="s">
        <v>18</v>
      </c>
      <c r="K76" t="s">
        <v>19</v>
      </c>
      <c r="L76" t="s">
        <v>15</v>
      </c>
      <c r="M76" t="s">
        <v>68</v>
      </c>
      <c r="N76" t="s">
        <v>30</v>
      </c>
    </row>
    <row r="77" spans="1:14">
      <c r="A77">
        <v>15997182</v>
      </c>
      <c r="B77" t="s">
        <v>149</v>
      </c>
      <c r="C77">
        <v>2005</v>
      </c>
      <c r="D77" t="s">
        <v>83</v>
      </c>
      <c r="E77" t="s">
        <v>77</v>
      </c>
      <c r="F77" t="s">
        <v>64</v>
      </c>
      <c r="G77">
        <v>0</v>
      </c>
      <c r="H77">
        <v>113</v>
      </c>
      <c r="I77" s="1">
        <f t="shared" si="1"/>
        <v>0</v>
      </c>
      <c r="J77" t="s">
        <v>55</v>
      </c>
      <c r="K77" t="s">
        <v>56</v>
      </c>
      <c r="L77" t="s">
        <v>83</v>
      </c>
      <c r="M77" t="s">
        <v>68</v>
      </c>
      <c r="N77" t="s">
        <v>30</v>
      </c>
    </row>
    <row r="78" spans="1:14">
      <c r="A78">
        <v>16006642</v>
      </c>
      <c r="B78" t="s">
        <v>150</v>
      </c>
      <c r="C78">
        <v>2005</v>
      </c>
      <c r="D78" t="s">
        <v>45</v>
      </c>
      <c r="E78" t="s">
        <v>48</v>
      </c>
      <c r="F78" t="s">
        <v>41</v>
      </c>
      <c r="G78">
        <v>21</v>
      </c>
      <c r="H78">
        <v>67</v>
      </c>
      <c r="I78" s="1">
        <f t="shared" si="1"/>
        <v>0.313432835820896</v>
      </c>
      <c r="J78" t="s">
        <v>23</v>
      </c>
      <c r="K78" t="s">
        <v>46</v>
      </c>
      <c r="L78" t="s">
        <v>45</v>
      </c>
      <c r="M78" t="s">
        <v>151</v>
      </c>
      <c r="N78" t="s">
        <v>30</v>
      </c>
    </row>
    <row r="79" spans="1:14">
      <c r="A79">
        <v>16023798</v>
      </c>
      <c r="B79" t="s">
        <v>152</v>
      </c>
      <c r="C79">
        <v>2005</v>
      </c>
      <c r="D79" t="s">
        <v>93</v>
      </c>
      <c r="E79" t="s">
        <v>77</v>
      </c>
      <c r="F79" t="s">
        <v>64</v>
      </c>
      <c r="G79">
        <v>43</v>
      </c>
      <c r="H79">
        <v>238</v>
      </c>
      <c r="I79" s="1">
        <f t="shared" si="1"/>
        <v>0.180672268907563</v>
      </c>
      <c r="J79" t="s">
        <v>94</v>
      </c>
      <c r="K79" t="s">
        <v>95</v>
      </c>
      <c r="L79" t="s">
        <v>93</v>
      </c>
      <c r="M79" t="s">
        <v>49</v>
      </c>
      <c r="N79" t="s">
        <v>50</v>
      </c>
    </row>
    <row r="80" spans="1:14">
      <c r="A80">
        <v>16076482</v>
      </c>
      <c r="B80" t="s">
        <v>153</v>
      </c>
      <c r="C80">
        <v>2006</v>
      </c>
      <c r="D80" t="s">
        <v>79</v>
      </c>
      <c r="E80" t="s">
        <v>77</v>
      </c>
      <c r="F80" t="s">
        <v>28</v>
      </c>
      <c r="G80">
        <v>0</v>
      </c>
      <c r="H80">
        <v>123</v>
      </c>
      <c r="I80" s="1">
        <f t="shared" si="1"/>
        <v>0</v>
      </c>
      <c r="J80" t="s">
        <v>80</v>
      </c>
      <c r="K80" t="s">
        <v>81</v>
      </c>
      <c r="L80" t="s">
        <v>79</v>
      </c>
      <c r="M80" t="s">
        <v>78</v>
      </c>
      <c r="N80" t="s">
        <v>50</v>
      </c>
    </row>
    <row r="81" spans="1:14">
      <c r="A81">
        <v>16140765</v>
      </c>
      <c r="B81" t="s">
        <v>154</v>
      </c>
      <c r="C81">
        <v>2005</v>
      </c>
      <c r="D81" t="s">
        <v>139</v>
      </c>
      <c r="E81" t="s">
        <v>48</v>
      </c>
      <c r="F81" t="s">
        <v>64</v>
      </c>
      <c r="G81">
        <v>15</v>
      </c>
      <c r="H81">
        <v>15</v>
      </c>
      <c r="I81" s="1">
        <f t="shared" si="1"/>
        <v>1</v>
      </c>
      <c r="J81" t="s">
        <v>80</v>
      </c>
      <c r="K81" t="s">
        <v>113</v>
      </c>
      <c r="L81" t="s">
        <v>139</v>
      </c>
      <c r="M81" t="s">
        <v>29</v>
      </c>
      <c r="N81" t="s">
        <v>30</v>
      </c>
    </row>
    <row r="82" spans="1:14">
      <c r="A82">
        <v>16140765</v>
      </c>
      <c r="B82" t="s">
        <v>154</v>
      </c>
      <c r="C82">
        <v>2005</v>
      </c>
      <c r="D82" t="s">
        <v>139</v>
      </c>
      <c r="E82" t="s">
        <v>27</v>
      </c>
      <c r="F82" t="s">
        <v>64</v>
      </c>
      <c r="G82">
        <v>91</v>
      </c>
      <c r="H82">
        <v>1168</v>
      </c>
      <c r="I82" s="1">
        <f t="shared" si="1"/>
        <v>0.0779109589041096</v>
      </c>
      <c r="J82" t="s">
        <v>80</v>
      </c>
      <c r="K82" t="s">
        <v>113</v>
      </c>
      <c r="L82" t="s">
        <v>139</v>
      </c>
      <c r="M82" t="s">
        <v>29</v>
      </c>
      <c r="N82" t="s">
        <v>30</v>
      </c>
    </row>
    <row r="83" spans="1:14">
      <c r="A83">
        <v>16187899</v>
      </c>
      <c r="B83" t="s">
        <v>155</v>
      </c>
      <c r="C83">
        <v>2005</v>
      </c>
      <c r="D83" t="s">
        <v>57</v>
      </c>
      <c r="E83" t="s">
        <v>16</v>
      </c>
      <c r="F83" t="s">
        <v>17</v>
      </c>
      <c r="G83">
        <v>3</v>
      </c>
      <c r="H83">
        <v>5</v>
      </c>
      <c r="I83" s="1">
        <f t="shared" si="1"/>
        <v>0.6</v>
      </c>
      <c r="J83" t="s">
        <v>55</v>
      </c>
      <c r="K83" t="s">
        <v>56</v>
      </c>
      <c r="L83" t="s">
        <v>57</v>
      </c>
      <c r="M83" t="s">
        <v>20</v>
      </c>
      <c r="N83" t="s">
        <v>21</v>
      </c>
    </row>
    <row r="84" spans="1:14">
      <c r="A84">
        <v>16298977</v>
      </c>
      <c r="B84" t="s">
        <v>156</v>
      </c>
      <c r="C84">
        <v>2005</v>
      </c>
      <c r="D84" t="s">
        <v>124</v>
      </c>
      <c r="E84" t="s">
        <v>77</v>
      </c>
      <c r="F84" t="s">
        <v>64</v>
      </c>
      <c r="G84">
        <v>2</v>
      </c>
      <c r="H84">
        <v>87</v>
      </c>
      <c r="I84" s="1">
        <f t="shared" si="1"/>
        <v>0.0229885057471264</v>
      </c>
      <c r="J84" t="s">
        <v>125</v>
      </c>
      <c r="K84" t="s">
        <v>126</v>
      </c>
      <c r="L84" t="s">
        <v>124</v>
      </c>
      <c r="M84" t="s">
        <v>68</v>
      </c>
      <c r="N84" t="s">
        <v>30</v>
      </c>
    </row>
    <row r="85" spans="1:14">
      <c r="A85">
        <v>16428671</v>
      </c>
      <c r="B85" t="s">
        <v>157</v>
      </c>
      <c r="C85">
        <v>2006</v>
      </c>
      <c r="D85" t="s">
        <v>79</v>
      </c>
      <c r="E85" t="s">
        <v>77</v>
      </c>
      <c r="F85" t="s">
        <v>64</v>
      </c>
      <c r="G85">
        <v>1</v>
      </c>
      <c r="H85">
        <v>1</v>
      </c>
      <c r="I85" s="1">
        <f t="shared" si="1"/>
        <v>1</v>
      </c>
      <c r="J85" t="s">
        <v>80</v>
      </c>
      <c r="K85" t="s">
        <v>81</v>
      </c>
      <c r="L85" t="s">
        <v>79</v>
      </c>
      <c r="M85" t="s">
        <v>75</v>
      </c>
      <c r="N85" t="s">
        <v>50</v>
      </c>
    </row>
    <row r="86" spans="1:14">
      <c r="A86">
        <v>16456169</v>
      </c>
      <c r="B86" t="s">
        <v>158</v>
      </c>
      <c r="C86">
        <v>2005</v>
      </c>
      <c r="D86" t="s">
        <v>22</v>
      </c>
      <c r="E86" t="s">
        <v>16</v>
      </c>
      <c r="F86" t="s">
        <v>17</v>
      </c>
      <c r="G86">
        <v>21</v>
      </c>
      <c r="H86">
        <v>63</v>
      </c>
      <c r="I86" s="1">
        <f t="shared" si="1"/>
        <v>0.333333333333333</v>
      </c>
      <c r="J86" t="s">
        <v>23</v>
      </c>
      <c r="K86" t="s">
        <v>24</v>
      </c>
      <c r="L86" t="s">
        <v>22</v>
      </c>
      <c r="M86" t="s">
        <v>20</v>
      </c>
      <c r="N86" t="s">
        <v>21</v>
      </c>
    </row>
    <row r="87" spans="1:14">
      <c r="A87">
        <v>16456171</v>
      </c>
      <c r="B87" t="s">
        <v>159</v>
      </c>
      <c r="C87">
        <v>2005</v>
      </c>
      <c r="D87" t="s">
        <v>82</v>
      </c>
      <c r="E87" t="s">
        <v>77</v>
      </c>
      <c r="F87" t="s">
        <v>28</v>
      </c>
      <c r="G87">
        <v>91</v>
      </c>
      <c r="H87">
        <v>219</v>
      </c>
      <c r="I87" s="1">
        <f t="shared" si="1"/>
        <v>0.415525114155251</v>
      </c>
      <c r="J87" t="s">
        <v>38</v>
      </c>
      <c r="K87" t="s">
        <v>39</v>
      </c>
      <c r="L87" t="s">
        <v>82</v>
      </c>
      <c r="M87" t="s">
        <v>160</v>
      </c>
      <c r="N87" t="s">
        <v>50</v>
      </c>
    </row>
    <row r="88" spans="1:14">
      <c r="A88">
        <v>16456172</v>
      </c>
      <c r="B88" t="s">
        <v>161</v>
      </c>
      <c r="C88">
        <v>2005</v>
      </c>
      <c r="D88" t="s">
        <v>15</v>
      </c>
      <c r="E88" t="s">
        <v>77</v>
      </c>
      <c r="F88" t="s">
        <v>28</v>
      </c>
      <c r="G88">
        <v>111</v>
      </c>
      <c r="H88">
        <v>427</v>
      </c>
      <c r="I88" s="1">
        <f t="shared" si="1"/>
        <v>0.259953161592506</v>
      </c>
      <c r="J88" t="s">
        <v>18</v>
      </c>
      <c r="K88" t="s">
        <v>19</v>
      </c>
      <c r="L88" t="s">
        <v>15</v>
      </c>
      <c r="M88" t="s">
        <v>162</v>
      </c>
      <c r="N88" t="s">
        <v>50</v>
      </c>
    </row>
    <row r="89" spans="1:14">
      <c r="A89">
        <v>16460352</v>
      </c>
      <c r="B89" t="s">
        <v>161</v>
      </c>
      <c r="C89">
        <v>2006</v>
      </c>
      <c r="D89" t="s">
        <v>84</v>
      </c>
      <c r="E89" t="s">
        <v>77</v>
      </c>
      <c r="F89" t="s">
        <v>28</v>
      </c>
      <c r="G89">
        <v>0</v>
      </c>
      <c r="H89">
        <v>178</v>
      </c>
      <c r="I89" s="1">
        <f t="shared" si="1"/>
        <v>0</v>
      </c>
      <c r="J89" t="s">
        <v>85</v>
      </c>
      <c r="K89" t="s">
        <v>86</v>
      </c>
      <c r="L89" t="s">
        <v>84</v>
      </c>
      <c r="M89" t="s">
        <v>162</v>
      </c>
      <c r="N89" t="s">
        <v>50</v>
      </c>
    </row>
    <row r="90" spans="1:14">
      <c r="A90">
        <v>16460352</v>
      </c>
      <c r="B90" t="s">
        <v>161</v>
      </c>
      <c r="C90">
        <v>2006</v>
      </c>
      <c r="D90" t="s">
        <v>112</v>
      </c>
      <c r="E90" t="s">
        <v>77</v>
      </c>
      <c r="F90" t="s">
        <v>28</v>
      </c>
      <c r="G90">
        <v>5</v>
      </c>
      <c r="H90">
        <v>178</v>
      </c>
      <c r="I90" s="1">
        <f t="shared" si="1"/>
        <v>0.0280898876404494</v>
      </c>
      <c r="J90" t="s">
        <v>80</v>
      </c>
      <c r="K90" t="s">
        <v>113</v>
      </c>
      <c r="L90" t="s">
        <v>112</v>
      </c>
      <c r="M90" t="s">
        <v>162</v>
      </c>
      <c r="N90" t="s">
        <v>50</v>
      </c>
    </row>
    <row r="91" spans="1:14">
      <c r="A91">
        <v>16460352</v>
      </c>
      <c r="B91" t="s">
        <v>161</v>
      </c>
      <c r="C91">
        <v>2006</v>
      </c>
      <c r="D91" t="s">
        <v>15</v>
      </c>
      <c r="E91" t="s">
        <v>77</v>
      </c>
      <c r="F91" t="s">
        <v>28</v>
      </c>
      <c r="G91">
        <v>55</v>
      </c>
      <c r="H91">
        <v>178</v>
      </c>
      <c r="I91" s="1">
        <f t="shared" si="1"/>
        <v>0.308988764044944</v>
      </c>
      <c r="J91" t="s">
        <v>18</v>
      </c>
      <c r="K91" t="s">
        <v>19</v>
      </c>
      <c r="L91" t="s">
        <v>15</v>
      </c>
      <c r="M91" t="s">
        <v>162</v>
      </c>
      <c r="N91" t="s">
        <v>50</v>
      </c>
    </row>
    <row r="92" spans="1:14">
      <c r="A92">
        <v>16460352</v>
      </c>
      <c r="B92" t="s">
        <v>161</v>
      </c>
      <c r="C92">
        <v>2006</v>
      </c>
      <c r="D92" t="s">
        <v>83</v>
      </c>
      <c r="E92" t="s">
        <v>77</v>
      </c>
      <c r="F92" t="s">
        <v>28</v>
      </c>
      <c r="G92">
        <v>0</v>
      </c>
      <c r="H92">
        <v>178</v>
      </c>
      <c r="I92" s="1">
        <f t="shared" si="1"/>
        <v>0</v>
      </c>
      <c r="J92" t="s">
        <v>55</v>
      </c>
      <c r="K92" t="s">
        <v>56</v>
      </c>
      <c r="L92" t="s">
        <v>83</v>
      </c>
      <c r="M92" t="s">
        <v>162</v>
      </c>
      <c r="N92" t="s">
        <v>50</v>
      </c>
    </row>
    <row r="93" spans="1:14">
      <c r="A93">
        <v>16460352</v>
      </c>
      <c r="B93" t="s">
        <v>161</v>
      </c>
      <c r="C93">
        <v>2006</v>
      </c>
      <c r="D93" t="s">
        <v>163</v>
      </c>
      <c r="E93" t="s">
        <v>77</v>
      </c>
      <c r="F93" t="s">
        <v>28</v>
      </c>
      <c r="G93">
        <v>0</v>
      </c>
      <c r="H93">
        <v>178</v>
      </c>
      <c r="I93" s="1">
        <f t="shared" si="1"/>
        <v>0</v>
      </c>
      <c r="J93" t="s">
        <v>35</v>
      </c>
      <c r="K93" t="s">
        <v>107</v>
      </c>
      <c r="L93" t="s">
        <v>163</v>
      </c>
      <c r="M93" t="s">
        <v>162</v>
      </c>
      <c r="N93" t="s">
        <v>50</v>
      </c>
    </row>
    <row r="94" spans="1:14">
      <c r="A94">
        <v>16460352</v>
      </c>
      <c r="B94" t="s">
        <v>161</v>
      </c>
      <c r="C94">
        <v>2006</v>
      </c>
      <c r="D94" t="s">
        <v>79</v>
      </c>
      <c r="E94" t="s">
        <v>77</v>
      </c>
      <c r="F94" t="s">
        <v>28</v>
      </c>
      <c r="G94">
        <v>0</v>
      </c>
      <c r="H94">
        <v>178</v>
      </c>
      <c r="I94" s="1">
        <f t="shared" si="1"/>
        <v>0</v>
      </c>
      <c r="J94" t="s">
        <v>80</v>
      </c>
      <c r="K94" t="s">
        <v>81</v>
      </c>
      <c r="L94" t="s">
        <v>79</v>
      </c>
      <c r="M94" t="s">
        <v>162</v>
      </c>
      <c r="N94" t="s">
        <v>50</v>
      </c>
    </row>
    <row r="95" spans="1:14">
      <c r="A95">
        <v>16460352</v>
      </c>
      <c r="B95" t="s">
        <v>161</v>
      </c>
      <c r="C95">
        <v>2006</v>
      </c>
      <c r="D95" t="s">
        <v>82</v>
      </c>
      <c r="E95" t="s">
        <v>77</v>
      </c>
      <c r="F95" t="s">
        <v>28</v>
      </c>
      <c r="G95">
        <v>87</v>
      </c>
      <c r="H95">
        <v>178</v>
      </c>
      <c r="I95" s="1">
        <f t="shared" si="1"/>
        <v>0.48876404494382</v>
      </c>
      <c r="J95" t="s">
        <v>38</v>
      </c>
      <c r="K95" t="s">
        <v>39</v>
      </c>
      <c r="L95" t="s">
        <v>82</v>
      </c>
      <c r="M95" t="s">
        <v>162</v>
      </c>
      <c r="N95" t="s">
        <v>50</v>
      </c>
    </row>
    <row r="96" spans="1:14">
      <c r="A96">
        <v>16512165</v>
      </c>
      <c r="B96" t="s">
        <v>164</v>
      </c>
      <c r="C96">
        <v>1970</v>
      </c>
      <c r="D96" t="s">
        <v>45</v>
      </c>
      <c r="E96" t="s">
        <v>51</v>
      </c>
      <c r="F96" t="s">
        <v>41</v>
      </c>
      <c r="G96">
        <v>12</v>
      </c>
      <c r="H96">
        <v>12</v>
      </c>
      <c r="I96" s="1">
        <f t="shared" si="1"/>
        <v>1</v>
      </c>
      <c r="J96" t="s">
        <v>23</v>
      </c>
      <c r="K96" t="s">
        <v>46</v>
      </c>
      <c r="L96" t="s">
        <v>45</v>
      </c>
      <c r="M96" t="s">
        <v>20</v>
      </c>
      <c r="N96" t="s">
        <v>21</v>
      </c>
    </row>
    <row r="97" spans="1:14">
      <c r="A97">
        <v>16556344</v>
      </c>
      <c r="B97" t="s">
        <v>165</v>
      </c>
      <c r="C97">
        <v>2006</v>
      </c>
      <c r="D97" t="s">
        <v>166</v>
      </c>
      <c r="E97" t="s">
        <v>167</v>
      </c>
      <c r="F97" t="s">
        <v>54</v>
      </c>
      <c r="G97">
        <v>2</v>
      </c>
      <c r="H97">
        <v>101</v>
      </c>
      <c r="I97" s="1">
        <f t="shared" si="1"/>
        <v>0.0198019801980198</v>
      </c>
      <c r="J97" t="s">
        <v>168</v>
      </c>
      <c r="K97" t="s">
        <v>121</v>
      </c>
      <c r="L97" t="s">
        <v>166</v>
      </c>
      <c r="M97" t="s">
        <v>169</v>
      </c>
      <c r="N97" t="s">
        <v>50</v>
      </c>
    </row>
    <row r="98" spans="1:14">
      <c r="A98">
        <v>16732885</v>
      </c>
      <c r="B98" t="s">
        <v>161</v>
      </c>
      <c r="C98">
        <v>2006</v>
      </c>
      <c r="D98" t="s">
        <v>83</v>
      </c>
      <c r="E98" t="s">
        <v>77</v>
      </c>
      <c r="F98" t="s">
        <v>64</v>
      </c>
      <c r="G98">
        <v>0</v>
      </c>
      <c r="H98">
        <v>1308</v>
      </c>
      <c r="I98" s="1">
        <f t="shared" si="1"/>
        <v>0</v>
      </c>
      <c r="J98" t="s">
        <v>55</v>
      </c>
      <c r="K98" t="s">
        <v>56</v>
      </c>
      <c r="L98" t="s">
        <v>83</v>
      </c>
      <c r="M98" t="s">
        <v>162</v>
      </c>
      <c r="N98" t="s">
        <v>50</v>
      </c>
    </row>
    <row r="99" spans="1:14">
      <c r="A99">
        <v>16959441</v>
      </c>
      <c r="B99" t="s">
        <v>170</v>
      </c>
      <c r="C99">
        <v>2006</v>
      </c>
      <c r="D99" t="s">
        <v>171</v>
      </c>
      <c r="E99" t="s">
        <v>77</v>
      </c>
      <c r="F99" t="s">
        <v>64</v>
      </c>
      <c r="G99">
        <v>150</v>
      </c>
      <c r="H99">
        <v>178</v>
      </c>
      <c r="I99" s="1">
        <f t="shared" si="1"/>
        <v>0.842696629213483</v>
      </c>
      <c r="J99" t="s">
        <v>172</v>
      </c>
      <c r="K99" t="s">
        <v>173</v>
      </c>
      <c r="L99" t="s">
        <v>171</v>
      </c>
      <c r="M99" t="s">
        <v>78</v>
      </c>
      <c r="N99" t="s">
        <v>50</v>
      </c>
    </row>
    <row r="100" spans="1:14">
      <c r="A100">
        <v>16989565</v>
      </c>
      <c r="B100" t="s">
        <v>174</v>
      </c>
      <c r="C100">
        <v>2006</v>
      </c>
      <c r="D100" t="s">
        <v>57</v>
      </c>
      <c r="E100" t="s">
        <v>77</v>
      </c>
      <c r="F100" t="s">
        <v>28</v>
      </c>
      <c r="G100">
        <v>50</v>
      </c>
      <c r="H100">
        <v>306</v>
      </c>
      <c r="I100" s="1">
        <f t="shared" si="1"/>
        <v>0.163398692810458</v>
      </c>
      <c r="J100" t="s">
        <v>55</v>
      </c>
      <c r="K100" t="s">
        <v>56</v>
      </c>
      <c r="L100" t="s">
        <v>57</v>
      </c>
      <c r="M100" t="s">
        <v>20</v>
      </c>
      <c r="N100" t="s">
        <v>21</v>
      </c>
    </row>
    <row r="101" spans="1:14">
      <c r="A101">
        <v>17169510</v>
      </c>
      <c r="B101" t="s">
        <v>153</v>
      </c>
      <c r="C101">
        <v>2007</v>
      </c>
      <c r="D101" t="s">
        <v>15</v>
      </c>
      <c r="E101" t="s">
        <v>77</v>
      </c>
      <c r="F101" t="s">
        <v>64</v>
      </c>
      <c r="G101">
        <v>59</v>
      </c>
      <c r="H101">
        <v>192</v>
      </c>
      <c r="I101" s="1">
        <f t="shared" si="1"/>
        <v>0.307291666666667</v>
      </c>
      <c r="J101" t="s">
        <v>18</v>
      </c>
      <c r="K101" t="s">
        <v>19</v>
      </c>
      <c r="L101" t="s">
        <v>15</v>
      </c>
      <c r="M101" t="s">
        <v>78</v>
      </c>
      <c r="N101" t="s">
        <v>50</v>
      </c>
    </row>
    <row r="102" spans="1:14">
      <c r="A102">
        <v>17217550</v>
      </c>
      <c r="B102" t="s">
        <v>175</v>
      </c>
      <c r="C102">
        <v>2007</v>
      </c>
      <c r="D102" t="s">
        <v>176</v>
      </c>
      <c r="E102" t="s">
        <v>77</v>
      </c>
      <c r="F102" t="s">
        <v>17</v>
      </c>
      <c r="G102">
        <v>17</v>
      </c>
      <c r="H102">
        <v>25</v>
      </c>
      <c r="I102" s="1">
        <f t="shared" si="1"/>
        <v>0.68</v>
      </c>
      <c r="J102" t="s">
        <v>55</v>
      </c>
      <c r="K102" t="s">
        <v>56</v>
      </c>
      <c r="L102" t="s">
        <v>176</v>
      </c>
      <c r="M102" t="s">
        <v>68</v>
      </c>
      <c r="N102" t="s">
        <v>30</v>
      </c>
    </row>
    <row r="103" spans="1:14">
      <c r="A103">
        <v>17422359</v>
      </c>
      <c r="B103" t="s">
        <v>177</v>
      </c>
      <c r="C103">
        <v>1984</v>
      </c>
      <c r="D103" t="s">
        <v>22</v>
      </c>
      <c r="E103" t="s">
        <v>16</v>
      </c>
      <c r="F103" t="s">
        <v>101</v>
      </c>
      <c r="G103">
        <v>23</v>
      </c>
      <c r="H103">
        <v>23</v>
      </c>
      <c r="I103" s="1">
        <f t="shared" si="1"/>
        <v>1</v>
      </c>
      <c r="J103" t="s">
        <v>23</v>
      </c>
      <c r="K103" t="s">
        <v>24</v>
      </c>
      <c r="L103" t="s">
        <v>22</v>
      </c>
      <c r="M103" t="s">
        <v>96</v>
      </c>
      <c r="N103" t="s">
        <v>21</v>
      </c>
    </row>
    <row r="104" spans="1:14">
      <c r="A104">
        <v>17422646</v>
      </c>
      <c r="B104" t="s">
        <v>178</v>
      </c>
      <c r="C104">
        <v>1986</v>
      </c>
      <c r="D104" t="s">
        <v>45</v>
      </c>
      <c r="E104" t="s">
        <v>16</v>
      </c>
      <c r="F104" t="s">
        <v>41</v>
      </c>
      <c r="G104">
        <v>1</v>
      </c>
      <c r="H104">
        <v>196</v>
      </c>
      <c r="I104" s="1">
        <f t="shared" si="1"/>
        <v>0.00510204081632653</v>
      </c>
      <c r="J104" t="s">
        <v>23</v>
      </c>
      <c r="K104" t="s">
        <v>46</v>
      </c>
      <c r="L104" t="s">
        <v>45</v>
      </c>
      <c r="M104" t="s">
        <v>96</v>
      </c>
      <c r="N104" t="s">
        <v>21</v>
      </c>
    </row>
    <row r="105" spans="1:14">
      <c r="A105">
        <v>17422646</v>
      </c>
      <c r="B105" t="s">
        <v>178</v>
      </c>
      <c r="C105">
        <v>1986</v>
      </c>
      <c r="D105" t="s">
        <v>45</v>
      </c>
      <c r="E105" t="s">
        <v>51</v>
      </c>
      <c r="F105" t="s">
        <v>41</v>
      </c>
      <c r="G105">
        <v>0</v>
      </c>
      <c r="H105">
        <v>10</v>
      </c>
      <c r="I105" s="1">
        <f t="shared" si="1"/>
        <v>0</v>
      </c>
      <c r="J105" t="s">
        <v>23</v>
      </c>
      <c r="K105" t="s">
        <v>46</v>
      </c>
      <c r="L105" t="s">
        <v>45</v>
      </c>
      <c r="M105" t="s">
        <v>96</v>
      </c>
      <c r="N105" t="s">
        <v>21</v>
      </c>
    </row>
    <row r="106" spans="1:14">
      <c r="A106">
        <v>17423842</v>
      </c>
      <c r="B106" t="s">
        <v>179</v>
      </c>
      <c r="C106">
        <v>1991</v>
      </c>
      <c r="D106" t="s">
        <v>45</v>
      </c>
      <c r="E106" t="s">
        <v>16</v>
      </c>
      <c r="F106" t="s">
        <v>41</v>
      </c>
      <c r="G106">
        <v>3</v>
      </c>
      <c r="H106">
        <v>350</v>
      </c>
      <c r="I106" s="1">
        <f t="shared" si="1"/>
        <v>0.00857142857142857</v>
      </c>
      <c r="J106" t="s">
        <v>23</v>
      </c>
      <c r="K106" t="s">
        <v>46</v>
      </c>
      <c r="L106" t="s">
        <v>45</v>
      </c>
      <c r="M106" t="s">
        <v>96</v>
      </c>
      <c r="N106" t="s">
        <v>21</v>
      </c>
    </row>
    <row r="107" spans="1:14">
      <c r="A107">
        <v>17424088</v>
      </c>
      <c r="B107" t="s">
        <v>180</v>
      </c>
      <c r="C107">
        <v>1992</v>
      </c>
      <c r="D107" t="s">
        <v>181</v>
      </c>
      <c r="E107" t="s">
        <v>16</v>
      </c>
      <c r="F107" t="s">
        <v>17</v>
      </c>
      <c r="G107">
        <v>0</v>
      </c>
      <c r="H107">
        <v>14</v>
      </c>
      <c r="I107" s="1">
        <f t="shared" si="1"/>
        <v>0</v>
      </c>
      <c r="J107" t="s">
        <v>35</v>
      </c>
      <c r="K107" t="s">
        <v>107</v>
      </c>
      <c r="L107" t="s">
        <v>181</v>
      </c>
      <c r="M107" t="s">
        <v>20</v>
      </c>
      <c r="N107" t="s">
        <v>21</v>
      </c>
    </row>
    <row r="108" spans="1:14">
      <c r="A108">
        <v>17469271</v>
      </c>
      <c r="B108" t="s">
        <v>182</v>
      </c>
      <c r="C108">
        <v>2007</v>
      </c>
      <c r="D108" t="s">
        <v>22</v>
      </c>
      <c r="E108" t="s">
        <v>16</v>
      </c>
      <c r="F108" t="s">
        <v>17</v>
      </c>
      <c r="G108">
        <v>86</v>
      </c>
      <c r="H108">
        <v>159</v>
      </c>
      <c r="I108" s="1">
        <f t="shared" si="1"/>
        <v>0.540880503144654</v>
      </c>
      <c r="J108" t="s">
        <v>23</v>
      </c>
      <c r="K108" t="s">
        <v>24</v>
      </c>
      <c r="L108" t="s">
        <v>22</v>
      </c>
      <c r="M108" t="s">
        <v>20</v>
      </c>
      <c r="N108" t="s">
        <v>21</v>
      </c>
    </row>
    <row r="109" spans="1:14">
      <c r="A109">
        <v>17469271</v>
      </c>
      <c r="B109" t="s">
        <v>182</v>
      </c>
      <c r="C109">
        <v>2007</v>
      </c>
      <c r="D109" t="s">
        <v>110</v>
      </c>
      <c r="E109" t="s">
        <v>16</v>
      </c>
      <c r="F109" t="s">
        <v>17</v>
      </c>
      <c r="G109">
        <v>11</v>
      </c>
      <c r="H109">
        <v>159</v>
      </c>
      <c r="I109" s="1">
        <f t="shared" si="1"/>
        <v>0.0691823899371069</v>
      </c>
      <c r="J109" t="s">
        <v>43</v>
      </c>
      <c r="K109" t="s">
        <v>44</v>
      </c>
      <c r="L109" t="s">
        <v>110</v>
      </c>
      <c r="M109" t="s">
        <v>20</v>
      </c>
      <c r="N109" t="s">
        <v>21</v>
      </c>
    </row>
    <row r="110" spans="1:14">
      <c r="A110">
        <v>17469271</v>
      </c>
      <c r="B110" t="s">
        <v>182</v>
      </c>
      <c r="C110">
        <v>2007</v>
      </c>
      <c r="D110" t="s">
        <v>37</v>
      </c>
      <c r="E110" t="s">
        <v>16</v>
      </c>
      <c r="F110" t="s">
        <v>137</v>
      </c>
      <c r="G110">
        <v>79</v>
      </c>
      <c r="H110">
        <v>159</v>
      </c>
      <c r="I110" s="1">
        <f t="shared" si="1"/>
        <v>0.49685534591195</v>
      </c>
      <c r="J110" t="s">
        <v>38</v>
      </c>
      <c r="K110" t="s">
        <v>39</v>
      </c>
      <c r="L110" t="s">
        <v>37</v>
      </c>
      <c r="M110" t="s">
        <v>20</v>
      </c>
      <c r="N110" t="s">
        <v>21</v>
      </c>
    </row>
    <row r="111" spans="1:14">
      <c r="A111">
        <v>17484502</v>
      </c>
      <c r="B111" t="s">
        <v>183</v>
      </c>
      <c r="C111">
        <v>2007</v>
      </c>
      <c r="D111" t="s">
        <v>83</v>
      </c>
      <c r="E111" t="s">
        <v>77</v>
      </c>
      <c r="F111" t="s">
        <v>17</v>
      </c>
      <c r="G111">
        <v>75</v>
      </c>
      <c r="H111">
        <v>214</v>
      </c>
      <c r="I111" s="1">
        <f t="shared" si="1"/>
        <v>0.350467289719626</v>
      </c>
      <c r="J111" t="s">
        <v>55</v>
      </c>
      <c r="K111" t="s">
        <v>56</v>
      </c>
      <c r="L111" t="s">
        <v>83</v>
      </c>
      <c r="M111" t="s">
        <v>160</v>
      </c>
      <c r="N111" t="s">
        <v>50</v>
      </c>
    </row>
    <row r="112" spans="1:14">
      <c r="A112">
        <v>17484502</v>
      </c>
      <c r="B112" t="s">
        <v>183</v>
      </c>
      <c r="C112">
        <v>2007</v>
      </c>
      <c r="D112" t="s">
        <v>184</v>
      </c>
      <c r="E112" t="s">
        <v>77</v>
      </c>
      <c r="F112" t="s">
        <v>17</v>
      </c>
      <c r="G112">
        <v>5</v>
      </c>
      <c r="H112">
        <v>214</v>
      </c>
      <c r="I112" s="1">
        <f t="shared" si="1"/>
        <v>0.0233644859813084</v>
      </c>
      <c r="J112" t="s">
        <v>55</v>
      </c>
      <c r="K112" t="s">
        <v>56</v>
      </c>
      <c r="L112" t="s">
        <v>184</v>
      </c>
      <c r="M112" t="s">
        <v>160</v>
      </c>
      <c r="N112" t="s">
        <v>50</v>
      </c>
    </row>
    <row r="113" spans="1:14">
      <c r="A113">
        <v>17484502</v>
      </c>
      <c r="B113" t="s">
        <v>183</v>
      </c>
      <c r="C113">
        <v>2007</v>
      </c>
      <c r="D113" t="s">
        <v>83</v>
      </c>
      <c r="E113" t="s">
        <v>77</v>
      </c>
      <c r="F113" t="s">
        <v>28</v>
      </c>
      <c r="G113">
        <v>111</v>
      </c>
      <c r="H113">
        <v>214</v>
      </c>
      <c r="I113" s="1">
        <f t="shared" si="1"/>
        <v>0.518691588785047</v>
      </c>
      <c r="J113" t="s">
        <v>55</v>
      </c>
      <c r="K113" t="s">
        <v>56</v>
      </c>
      <c r="L113" t="s">
        <v>83</v>
      </c>
      <c r="M113" t="s">
        <v>160</v>
      </c>
      <c r="N113" t="s">
        <v>50</v>
      </c>
    </row>
    <row r="114" spans="1:14">
      <c r="A114">
        <v>17484502</v>
      </c>
      <c r="B114" t="s">
        <v>183</v>
      </c>
      <c r="C114">
        <v>2007</v>
      </c>
      <c r="D114" t="s">
        <v>185</v>
      </c>
      <c r="E114" t="s">
        <v>77</v>
      </c>
      <c r="F114" t="s">
        <v>17</v>
      </c>
      <c r="G114">
        <v>5</v>
      </c>
      <c r="H114">
        <v>214</v>
      </c>
      <c r="I114" s="1">
        <f t="shared" si="1"/>
        <v>0.0233644859813084</v>
      </c>
      <c r="J114" t="s">
        <v>55</v>
      </c>
      <c r="K114" t="s">
        <v>56</v>
      </c>
      <c r="L114" t="s">
        <v>185</v>
      </c>
      <c r="M114" t="s">
        <v>160</v>
      </c>
      <c r="N114" t="s">
        <v>50</v>
      </c>
    </row>
    <row r="115" spans="1:14">
      <c r="A115">
        <v>1758036</v>
      </c>
      <c r="B115" t="s">
        <v>186</v>
      </c>
      <c r="C115">
        <v>1991</v>
      </c>
      <c r="D115" t="s">
        <v>45</v>
      </c>
      <c r="E115" t="s">
        <v>16</v>
      </c>
      <c r="F115" t="s">
        <v>41</v>
      </c>
      <c r="G115">
        <v>0</v>
      </c>
      <c r="H115">
        <v>1</v>
      </c>
      <c r="I115" s="1">
        <f t="shared" si="1"/>
        <v>0</v>
      </c>
      <c r="J115" t="s">
        <v>23</v>
      </c>
      <c r="K115" t="s">
        <v>46</v>
      </c>
      <c r="L115" t="s">
        <v>45</v>
      </c>
      <c r="M115" t="s">
        <v>20</v>
      </c>
      <c r="N115" t="s">
        <v>21</v>
      </c>
    </row>
    <row r="116" spans="1:14">
      <c r="A116">
        <v>17646060</v>
      </c>
      <c r="B116" t="s">
        <v>187</v>
      </c>
      <c r="C116">
        <v>2008</v>
      </c>
      <c r="D116" t="s">
        <v>115</v>
      </c>
      <c r="E116" t="s">
        <v>51</v>
      </c>
      <c r="F116" t="s">
        <v>28</v>
      </c>
      <c r="G116">
        <v>7</v>
      </c>
      <c r="H116">
        <v>137</v>
      </c>
      <c r="I116" s="1">
        <f t="shared" si="1"/>
        <v>0.0510948905109489</v>
      </c>
      <c r="J116" t="s">
        <v>38</v>
      </c>
      <c r="K116" t="s">
        <v>39</v>
      </c>
      <c r="L116" t="s">
        <v>115</v>
      </c>
      <c r="M116" t="s">
        <v>78</v>
      </c>
      <c r="N116" t="s">
        <v>50</v>
      </c>
    </row>
    <row r="117" spans="1:14">
      <c r="A117">
        <v>17646060</v>
      </c>
      <c r="B117" t="s">
        <v>187</v>
      </c>
      <c r="C117">
        <v>2008</v>
      </c>
      <c r="D117" t="s">
        <v>22</v>
      </c>
      <c r="E117" t="s">
        <v>51</v>
      </c>
      <c r="F117" t="s">
        <v>28</v>
      </c>
      <c r="G117">
        <v>23</v>
      </c>
      <c r="H117">
        <v>134</v>
      </c>
      <c r="I117" s="1">
        <f t="shared" si="1"/>
        <v>0.171641791044776</v>
      </c>
      <c r="J117" t="s">
        <v>23</v>
      </c>
      <c r="K117" t="s">
        <v>24</v>
      </c>
      <c r="L117" t="s">
        <v>22</v>
      </c>
      <c r="M117" t="s">
        <v>78</v>
      </c>
      <c r="N117" t="s">
        <v>50</v>
      </c>
    </row>
    <row r="118" spans="1:14">
      <c r="A118">
        <v>17706898</v>
      </c>
      <c r="B118" t="s">
        <v>188</v>
      </c>
      <c r="C118">
        <v>2008</v>
      </c>
      <c r="D118" t="s">
        <v>124</v>
      </c>
      <c r="E118" t="s">
        <v>77</v>
      </c>
      <c r="F118" t="s">
        <v>64</v>
      </c>
      <c r="G118">
        <v>22</v>
      </c>
      <c r="H118">
        <v>88</v>
      </c>
      <c r="I118" s="1">
        <f t="shared" si="1"/>
        <v>0.25</v>
      </c>
      <c r="J118" t="s">
        <v>125</v>
      </c>
      <c r="K118" t="s">
        <v>126</v>
      </c>
      <c r="L118" t="s">
        <v>124</v>
      </c>
      <c r="M118" t="s">
        <v>75</v>
      </c>
      <c r="N118" t="s">
        <v>50</v>
      </c>
    </row>
    <row r="119" spans="1:14">
      <c r="A119">
        <v>17867466</v>
      </c>
      <c r="B119" t="s">
        <v>189</v>
      </c>
      <c r="C119">
        <v>2007</v>
      </c>
      <c r="D119" t="s">
        <v>93</v>
      </c>
      <c r="E119" t="s">
        <v>77</v>
      </c>
      <c r="F119" t="s">
        <v>64</v>
      </c>
      <c r="G119">
        <v>8</v>
      </c>
      <c r="H119">
        <v>8</v>
      </c>
      <c r="I119" s="1">
        <f t="shared" si="1"/>
        <v>1</v>
      </c>
      <c r="J119" t="s">
        <v>94</v>
      </c>
      <c r="K119" t="s">
        <v>95</v>
      </c>
      <c r="L119" t="s">
        <v>93</v>
      </c>
      <c r="M119" t="s">
        <v>160</v>
      </c>
      <c r="N119" t="s">
        <v>50</v>
      </c>
    </row>
    <row r="120" spans="1:14">
      <c r="A120">
        <v>17867466</v>
      </c>
      <c r="B120" t="s">
        <v>189</v>
      </c>
      <c r="C120">
        <v>2007</v>
      </c>
      <c r="D120" t="s">
        <v>83</v>
      </c>
      <c r="E120" t="s">
        <v>77</v>
      </c>
      <c r="F120" t="s">
        <v>28</v>
      </c>
      <c r="G120">
        <v>0</v>
      </c>
      <c r="H120">
        <v>8</v>
      </c>
      <c r="I120" s="1">
        <f t="shared" si="1"/>
        <v>0</v>
      </c>
      <c r="J120" t="s">
        <v>55</v>
      </c>
      <c r="K120" t="s">
        <v>56</v>
      </c>
      <c r="L120" t="s">
        <v>83</v>
      </c>
      <c r="M120" t="s">
        <v>160</v>
      </c>
      <c r="N120" t="s">
        <v>50</v>
      </c>
    </row>
    <row r="121" spans="1:14">
      <c r="A121">
        <v>17881875</v>
      </c>
      <c r="B121" t="s">
        <v>190</v>
      </c>
      <c r="C121">
        <v>2007</v>
      </c>
      <c r="D121" t="s">
        <v>176</v>
      </c>
      <c r="E121" t="s">
        <v>77</v>
      </c>
      <c r="F121" t="s">
        <v>28</v>
      </c>
      <c r="G121">
        <v>65</v>
      </c>
      <c r="H121">
        <v>126</v>
      </c>
      <c r="I121" s="1">
        <f t="shared" si="1"/>
        <v>0.515873015873016</v>
      </c>
      <c r="J121" t="s">
        <v>55</v>
      </c>
      <c r="K121" t="s">
        <v>56</v>
      </c>
      <c r="L121" t="s">
        <v>176</v>
      </c>
      <c r="M121" t="s">
        <v>68</v>
      </c>
      <c r="N121" t="s">
        <v>30</v>
      </c>
    </row>
    <row r="122" spans="1:14">
      <c r="A122">
        <v>18068914</v>
      </c>
      <c r="B122" t="s">
        <v>191</v>
      </c>
      <c r="C122">
        <v>2008</v>
      </c>
      <c r="D122" t="s">
        <v>124</v>
      </c>
      <c r="E122" t="s">
        <v>77</v>
      </c>
      <c r="F122" t="s">
        <v>64</v>
      </c>
      <c r="G122">
        <v>10</v>
      </c>
      <c r="H122">
        <v>189</v>
      </c>
      <c r="I122" s="1">
        <f t="shared" si="1"/>
        <v>0.0529100529100529</v>
      </c>
      <c r="J122" t="s">
        <v>125</v>
      </c>
      <c r="K122" t="s">
        <v>126</v>
      </c>
      <c r="L122" t="s">
        <v>124</v>
      </c>
      <c r="M122" t="s">
        <v>49</v>
      </c>
      <c r="N122" t="s">
        <v>50</v>
      </c>
    </row>
    <row r="123" spans="1:14">
      <c r="A123">
        <v>18082340</v>
      </c>
      <c r="B123" t="s">
        <v>192</v>
      </c>
      <c r="C123">
        <v>2008</v>
      </c>
      <c r="D123" t="s">
        <v>124</v>
      </c>
      <c r="E123" t="s">
        <v>77</v>
      </c>
      <c r="F123" t="s">
        <v>64</v>
      </c>
      <c r="G123">
        <v>27</v>
      </c>
      <c r="H123">
        <v>138</v>
      </c>
      <c r="I123" s="1">
        <f t="shared" si="1"/>
        <v>0.195652173913043</v>
      </c>
      <c r="J123" t="s">
        <v>125</v>
      </c>
      <c r="K123" t="s">
        <v>126</v>
      </c>
      <c r="L123" t="s">
        <v>124</v>
      </c>
      <c r="M123" t="s">
        <v>78</v>
      </c>
      <c r="N123" t="s">
        <v>50</v>
      </c>
    </row>
    <row r="124" spans="1:14">
      <c r="A124">
        <v>18240970</v>
      </c>
      <c r="B124" t="s">
        <v>193</v>
      </c>
      <c r="C124">
        <v>2008</v>
      </c>
      <c r="D124" t="s">
        <v>53</v>
      </c>
      <c r="E124" t="s">
        <v>77</v>
      </c>
      <c r="F124" t="s">
        <v>64</v>
      </c>
      <c r="G124">
        <v>0</v>
      </c>
      <c r="H124">
        <v>16</v>
      </c>
      <c r="I124" s="1">
        <f t="shared" si="1"/>
        <v>0</v>
      </c>
      <c r="J124" t="s">
        <v>55</v>
      </c>
      <c r="K124" t="s">
        <v>56</v>
      </c>
      <c r="L124" t="s">
        <v>53</v>
      </c>
      <c r="M124" t="s">
        <v>151</v>
      </c>
      <c r="N124" t="s">
        <v>30</v>
      </c>
    </row>
    <row r="125" spans="1:14">
      <c r="A125">
        <v>18436668</v>
      </c>
      <c r="B125" t="s">
        <v>194</v>
      </c>
      <c r="C125">
        <v>2008</v>
      </c>
      <c r="D125" t="s">
        <v>195</v>
      </c>
      <c r="E125" t="s">
        <v>77</v>
      </c>
      <c r="F125" t="s">
        <v>137</v>
      </c>
      <c r="G125">
        <v>75</v>
      </c>
      <c r="H125">
        <v>888</v>
      </c>
      <c r="I125" s="1">
        <f t="shared" si="1"/>
        <v>0.0844594594594595</v>
      </c>
      <c r="J125" t="s">
        <v>85</v>
      </c>
      <c r="K125" t="s">
        <v>86</v>
      </c>
      <c r="L125" t="s">
        <v>195</v>
      </c>
      <c r="M125" t="s">
        <v>20</v>
      </c>
      <c r="N125" t="s">
        <v>21</v>
      </c>
    </row>
    <row r="126" spans="1:14">
      <c r="A126">
        <v>18440732</v>
      </c>
      <c r="B126" t="s">
        <v>196</v>
      </c>
      <c r="C126">
        <v>2008</v>
      </c>
      <c r="D126" t="s">
        <v>84</v>
      </c>
      <c r="E126" t="s">
        <v>77</v>
      </c>
      <c r="F126" t="s">
        <v>137</v>
      </c>
      <c r="G126">
        <v>65</v>
      </c>
      <c r="H126">
        <v>1245</v>
      </c>
      <c r="I126" s="1">
        <f t="shared" si="1"/>
        <v>0.0522088353413655</v>
      </c>
      <c r="J126" t="s">
        <v>85</v>
      </c>
      <c r="K126" t="s">
        <v>86</v>
      </c>
      <c r="L126" t="s">
        <v>84</v>
      </c>
      <c r="M126" t="s">
        <v>49</v>
      </c>
      <c r="N126" t="s">
        <v>50</v>
      </c>
    </row>
    <row r="127" spans="1:14">
      <c r="A127">
        <v>18567928</v>
      </c>
      <c r="B127" t="s">
        <v>197</v>
      </c>
      <c r="C127">
        <v>2008</v>
      </c>
      <c r="D127" t="s">
        <v>83</v>
      </c>
      <c r="E127" t="s">
        <v>77</v>
      </c>
      <c r="F127" t="s">
        <v>64</v>
      </c>
      <c r="G127">
        <v>96</v>
      </c>
      <c r="H127">
        <v>2767</v>
      </c>
      <c r="I127" s="1">
        <f t="shared" si="1"/>
        <v>0.0346946151066137</v>
      </c>
      <c r="J127" t="s">
        <v>55</v>
      </c>
      <c r="K127" t="s">
        <v>56</v>
      </c>
      <c r="L127" t="s">
        <v>83</v>
      </c>
      <c r="M127" t="s">
        <v>70</v>
      </c>
      <c r="N127" t="s">
        <v>50</v>
      </c>
    </row>
    <row r="128" spans="1:14">
      <c r="A128">
        <v>18689671</v>
      </c>
      <c r="B128" t="s">
        <v>198</v>
      </c>
      <c r="C128">
        <v>2008</v>
      </c>
      <c r="D128" t="s">
        <v>185</v>
      </c>
      <c r="E128" t="s">
        <v>77</v>
      </c>
      <c r="F128" t="s">
        <v>28</v>
      </c>
      <c r="G128">
        <v>2</v>
      </c>
      <c r="H128">
        <v>352</v>
      </c>
      <c r="I128" s="1">
        <f t="shared" si="1"/>
        <v>0.00568181818181818</v>
      </c>
      <c r="J128" t="s">
        <v>55</v>
      </c>
      <c r="K128" t="s">
        <v>56</v>
      </c>
      <c r="L128" t="s">
        <v>185</v>
      </c>
      <c r="M128" t="s">
        <v>199</v>
      </c>
      <c r="N128" t="s">
        <v>50</v>
      </c>
    </row>
    <row r="129" spans="1:14">
      <c r="A129">
        <v>18689671</v>
      </c>
      <c r="B129" t="s">
        <v>198</v>
      </c>
      <c r="C129">
        <v>2008</v>
      </c>
      <c r="D129" t="s">
        <v>112</v>
      </c>
      <c r="E129" t="s">
        <v>77</v>
      </c>
      <c r="F129" t="s">
        <v>28</v>
      </c>
      <c r="G129">
        <v>1</v>
      </c>
      <c r="H129">
        <v>134</v>
      </c>
      <c r="I129" s="1">
        <f t="shared" si="1"/>
        <v>0.00746268656716418</v>
      </c>
      <c r="J129" t="s">
        <v>80</v>
      </c>
      <c r="K129" t="s">
        <v>113</v>
      </c>
      <c r="L129" t="s">
        <v>112</v>
      </c>
      <c r="M129" t="s">
        <v>199</v>
      </c>
      <c r="N129" t="s">
        <v>50</v>
      </c>
    </row>
    <row r="130" spans="1:14">
      <c r="A130">
        <v>18689671</v>
      </c>
      <c r="B130" t="s">
        <v>198</v>
      </c>
      <c r="C130">
        <v>2008</v>
      </c>
      <c r="D130" t="s">
        <v>93</v>
      </c>
      <c r="E130" t="s">
        <v>77</v>
      </c>
      <c r="F130" t="s">
        <v>28</v>
      </c>
      <c r="G130">
        <v>57</v>
      </c>
      <c r="H130">
        <v>134</v>
      </c>
      <c r="I130" s="1">
        <f t="shared" si="1"/>
        <v>0.425373134328358</v>
      </c>
      <c r="J130" t="s">
        <v>94</v>
      </c>
      <c r="K130" t="s">
        <v>95</v>
      </c>
      <c r="L130" t="s">
        <v>93</v>
      </c>
      <c r="M130" t="s">
        <v>199</v>
      </c>
      <c r="N130" t="s">
        <v>50</v>
      </c>
    </row>
    <row r="131" spans="1:14">
      <c r="A131">
        <v>18689671</v>
      </c>
      <c r="B131" t="s">
        <v>198</v>
      </c>
      <c r="C131">
        <v>2008</v>
      </c>
      <c r="D131" t="s">
        <v>163</v>
      </c>
      <c r="E131" t="s">
        <v>77</v>
      </c>
      <c r="F131" t="s">
        <v>28</v>
      </c>
      <c r="G131">
        <v>0</v>
      </c>
      <c r="H131">
        <v>362</v>
      </c>
      <c r="I131" s="1">
        <f t="shared" ref="I131:I194" si="2">G131/H131</f>
        <v>0</v>
      </c>
      <c r="J131" t="s">
        <v>35</v>
      </c>
      <c r="K131" t="s">
        <v>107</v>
      </c>
      <c r="L131" t="s">
        <v>163</v>
      </c>
      <c r="M131" t="s">
        <v>199</v>
      </c>
      <c r="N131" t="s">
        <v>50</v>
      </c>
    </row>
    <row r="132" spans="1:14">
      <c r="A132">
        <v>18689671</v>
      </c>
      <c r="B132" t="s">
        <v>198</v>
      </c>
      <c r="C132">
        <v>2008</v>
      </c>
      <c r="D132" t="s">
        <v>15</v>
      </c>
      <c r="E132" t="s">
        <v>77</v>
      </c>
      <c r="F132" t="s">
        <v>28</v>
      </c>
      <c r="G132">
        <v>101</v>
      </c>
      <c r="H132">
        <v>338</v>
      </c>
      <c r="I132" s="1">
        <f t="shared" si="2"/>
        <v>0.298816568047337</v>
      </c>
      <c r="J132" t="s">
        <v>18</v>
      </c>
      <c r="K132" t="s">
        <v>19</v>
      </c>
      <c r="L132" t="s">
        <v>15</v>
      </c>
      <c r="M132" t="s">
        <v>199</v>
      </c>
      <c r="N132" t="s">
        <v>50</v>
      </c>
    </row>
    <row r="133" spans="1:14">
      <c r="A133">
        <v>18689671</v>
      </c>
      <c r="B133" t="s">
        <v>198</v>
      </c>
      <c r="C133">
        <v>2008</v>
      </c>
      <c r="D133" t="s">
        <v>83</v>
      </c>
      <c r="E133" t="s">
        <v>77</v>
      </c>
      <c r="F133" t="s">
        <v>28</v>
      </c>
      <c r="G133">
        <v>0</v>
      </c>
      <c r="H133">
        <v>6471</v>
      </c>
      <c r="I133" s="1">
        <f t="shared" si="2"/>
        <v>0</v>
      </c>
      <c r="J133" t="s">
        <v>55</v>
      </c>
      <c r="K133" t="s">
        <v>56</v>
      </c>
      <c r="L133" t="s">
        <v>83</v>
      </c>
      <c r="M133" t="s">
        <v>199</v>
      </c>
      <c r="N133" t="s">
        <v>50</v>
      </c>
    </row>
    <row r="134" spans="1:14">
      <c r="A134">
        <v>18774607</v>
      </c>
      <c r="B134" t="s">
        <v>200</v>
      </c>
      <c r="C134">
        <v>2009</v>
      </c>
      <c r="D134" t="s">
        <v>22</v>
      </c>
      <c r="E134" t="s">
        <v>27</v>
      </c>
      <c r="F134" t="s">
        <v>64</v>
      </c>
      <c r="G134">
        <v>10</v>
      </c>
      <c r="H134">
        <v>10</v>
      </c>
      <c r="I134" s="1">
        <f t="shared" si="2"/>
        <v>1</v>
      </c>
      <c r="J134" t="s">
        <v>23</v>
      </c>
      <c r="K134" t="s">
        <v>24</v>
      </c>
      <c r="L134" t="s">
        <v>22</v>
      </c>
      <c r="M134" t="s">
        <v>68</v>
      </c>
      <c r="N134" t="s">
        <v>30</v>
      </c>
    </row>
    <row r="135" spans="1:14">
      <c r="A135">
        <v>18910334</v>
      </c>
      <c r="B135" t="s">
        <v>201</v>
      </c>
      <c r="C135">
        <v>1947</v>
      </c>
      <c r="D135" t="s">
        <v>106</v>
      </c>
      <c r="E135" t="s">
        <v>131</v>
      </c>
      <c r="F135" t="s">
        <v>128</v>
      </c>
      <c r="G135">
        <v>9</v>
      </c>
      <c r="H135">
        <v>56</v>
      </c>
      <c r="I135" s="1">
        <f t="shared" si="2"/>
        <v>0.160714285714286</v>
      </c>
      <c r="J135" t="s">
        <v>132</v>
      </c>
      <c r="K135" t="s">
        <v>107</v>
      </c>
      <c r="L135" t="s">
        <v>106</v>
      </c>
      <c r="M135" t="s">
        <v>202</v>
      </c>
      <c r="N135" t="s">
        <v>50</v>
      </c>
    </row>
    <row r="136" spans="1:14">
      <c r="A136">
        <v>18957642</v>
      </c>
      <c r="B136" t="s">
        <v>203</v>
      </c>
      <c r="C136">
        <v>2008</v>
      </c>
      <c r="D136" t="s">
        <v>93</v>
      </c>
      <c r="E136" t="s">
        <v>77</v>
      </c>
      <c r="F136" t="s">
        <v>64</v>
      </c>
      <c r="G136">
        <v>2</v>
      </c>
      <c r="H136">
        <v>2</v>
      </c>
      <c r="I136" s="1">
        <f t="shared" si="2"/>
        <v>1</v>
      </c>
      <c r="J136" t="s">
        <v>94</v>
      </c>
      <c r="K136" t="s">
        <v>95</v>
      </c>
      <c r="L136" t="s">
        <v>93</v>
      </c>
      <c r="M136" t="s">
        <v>204</v>
      </c>
      <c r="N136" t="s">
        <v>50</v>
      </c>
    </row>
    <row r="137" spans="1:14">
      <c r="A137">
        <v>18957642</v>
      </c>
      <c r="B137" t="s">
        <v>203</v>
      </c>
      <c r="C137">
        <v>2008</v>
      </c>
      <c r="D137" t="s">
        <v>79</v>
      </c>
      <c r="E137" t="s">
        <v>77</v>
      </c>
      <c r="F137" t="s">
        <v>64</v>
      </c>
      <c r="G137">
        <v>1</v>
      </c>
      <c r="H137">
        <v>2</v>
      </c>
      <c r="I137" s="1">
        <f t="shared" si="2"/>
        <v>0.5</v>
      </c>
      <c r="J137" t="s">
        <v>80</v>
      </c>
      <c r="K137" t="s">
        <v>81</v>
      </c>
      <c r="L137" t="s">
        <v>79</v>
      </c>
      <c r="M137" t="s">
        <v>204</v>
      </c>
      <c r="N137" t="s">
        <v>50</v>
      </c>
    </row>
    <row r="138" spans="1:14">
      <c r="A138">
        <v>18957642</v>
      </c>
      <c r="B138" t="s">
        <v>203</v>
      </c>
      <c r="C138">
        <v>2008</v>
      </c>
      <c r="D138" t="s">
        <v>205</v>
      </c>
      <c r="E138" t="s">
        <v>77</v>
      </c>
      <c r="F138" t="s">
        <v>64</v>
      </c>
      <c r="G138">
        <v>0</v>
      </c>
      <c r="H138">
        <v>2</v>
      </c>
      <c r="I138" s="1">
        <f t="shared" si="2"/>
        <v>0</v>
      </c>
      <c r="J138" t="s">
        <v>94</v>
      </c>
      <c r="K138" t="s">
        <v>95</v>
      </c>
      <c r="L138" t="s">
        <v>205</v>
      </c>
      <c r="M138" t="s">
        <v>204</v>
      </c>
      <c r="N138" t="s">
        <v>50</v>
      </c>
    </row>
    <row r="139" spans="1:14">
      <c r="A139">
        <v>18957642</v>
      </c>
      <c r="B139" t="s">
        <v>203</v>
      </c>
      <c r="C139">
        <v>2008</v>
      </c>
      <c r="D139" t="s">
        <v>82</v>
      </c>
      <c r="E139" t="s">
        <v>77</v>
      </c>
      <c r="F139" t="s">
        <v>64</v>
      </c>
      <c r="G139">
        <v>0</v>
      </c>
      <c r="H139">
        <v>2</v>
      </c>
      <c r="I139" s="1">
        <f t="shared" si="2"/>
        <v>0</v>
      </c>
      <c r="J139" t="s">
        <v>38</v>
      </c>
      <c r="K139" t="s">
        <v>39</v>
      </c>
      <c r="L139" t="s">
        <v>82</v>
      </c>
      <c r="M139" t="s">
        <v>204</v>
      </c>
      <c r="N139" t="s">
        <v>50</v>
      </c>
    </row>
    <row r="140" spans="1:14">
      <c r="A140">
        <v>18957661</v>
      </c>
      <c r="B140" t="s">
        <v>206</v>
      </c>
      <c r="C140">
        <v>2008</v>
      </c>
      <c r="D140" t="s">
        <v>45</v>
      </c>
      <c r="E140" t="s">
        <v>16</v>
      </c>
      <c r="F140" t="s">
        <v>17</v>
      </c>
      <c r="G140">
        <v>155</v>
      </c>
      <c r="H140">
        <v>954</v>
      </c>
      <c r="I140" s="1">
        <f t="shared" si="2"/>
        <v>0.162473794549266</v>
      </c>
      <c r="J140" t="s">
        <v>23</v>
      </c>
      <c r="K140" t="s">
        <v>46</v>
      </c>
      <c r="L140" t="s">
        <v>45</v>
      </c>
      <c r="M140" t="s">
        <v>20</v>
      </c>
      <c r="N140" t="s">
        <v>21</v>
      </c>
    </row>
    <row r="141" spans="1:14">
      <c r="A141">
        <v>18959500</v>
      </c>
      <c r="B141" t="s">
        <v>207</v>
      </c>
      <c r="C141">
        <v>2008</v>
      </c>
      <c r="D141" t="s">
        <v>208</v>
      </c>
      <c r="E141" t="s">
        <v>16</v>
      </c>
      <c r="F141" t="s">
        <v>17</v>
      </c>
      <c r="G141">
        <v>1</v>
      </c>
      <c r="H141">
        <v>1</v>
      </c>
      <c r="I141" s="1">
        <f t="shared" si="2"/>
        <v>1</v>
      </c>
      <c r="J141" t="s">
        <v>55</v>
      </c>
      <c r="K141" t="s">
        <v>56</v>
      </c>
      <c r="L141" t="s">
        <v>208</v>
      </c>
      <c r="M141" t="s">
        <v>20</v>
      </c>
      <c r="N141" t="s">
        <v>21</v>
      </c>
    </row>
    <row r="142" spans="1:14">
      <c r="A142">
        <v>19000573</v>
      </c>
      <c r="B142" t="s">
        <v>209</v>
      </c>
      <c r="C142">
        <v>2008</v>
      </c>
      <c r="D142" t="s">
        <v>45</v>
      </c>
      <c r="E142" t="s">
        <v>51</v>
      </c>
      <c r="F142" t="s">
        <v>64</v>
      </c>
      <c r="G142">
        <v>1</v>
      </c>
      <c r="H142">
        <v>1</v>
      </c>
      <c r="I142" s="1">
        <f t="shared" si="2"/>
        <v>1</v>
      </c>
      <c r="J142" t="s">
        <v>23</v>
      </c>
      <c r="K142" t="s">
        <v>46</v>
      </c>
      <c r="L142" t="s">
        <v>45</v>
      </c>
      <c r="M142" t="s">
        <v>75</v>
      </c>
      <c r="N142" t="s">
        <v>50</v>
      </c>
    </row>
    <row r="143" spans="1:14">
      <c r="A143">
        <v>19046505</v>
      </c>
      <c r="B143" t="s">
        <v>194</v>
      </c>
      <c r="C143">
        <v>2008</v>
      </c>
      <c r="D143" t="s">
        <v>195</v>
      </c>
      <c r="E143" t="s">
        <v>16</v>
      </c>
      <c r="F143" t="s">
        <v>64</v>
      </c>
      <c r="G143">
        <v>17</v>
      </c>
      <c r="H143">
        <v>714</v>
      </c>
      <c r="I143" s="1">
        <f t="shared" si="2"/>
        <v>0.0238095238095238</v>
      </c>
      <c r="J143" t="s">
        <v>85</v>
      </c>
      <c r="K143" t="s">
        <v>86</v>
      </c>
      <c r="L143" t="s">
        <v>195</v>
      </c>
      <c r="M143" t="s">
        <v>20</v>
      </c>
      <c r="N143" t="s">
        <v>21</v>
      </c>
    </row>
    <row r="144" spans="1:14">
      <c r="A144">
        <v>19131188</v>
      </c>
      <c r="B144" t="s">
        <v>210</v>
      </c>
      <c r="C144">
        <v>2009</v>
      </c>
      <c r="D144" t="s">
        <v>79</v>
      </c>
      <c r="E144" t="s">
        <v>77</v>
      </c>
      <c r="F144" t="s">
        <v>64</v>
      </c>
      <c r="G144">
        <v>84</v>
      </c>
      <c r="H144">
        <v>531</v>
      </c>
      <c r="I144" s="1">
        <f t="shared" si="2"/>
        <v>0.15819209039548</v>
      </c>
      <c r="J144" t="s">
        <v>80</v>
      </c>
      <c r="K144" t="s">
        <v>81</v>
      </c>
      <c r="L144" t="s">
        <v>79</v>
      </c>
      <c r="M144" t="s">
        <v>49</v>
      </c>
      <c r="N144" t="s">
        <v>50</v>
      </c>
    </row>
    <row r="145" spans="1:14">
      <c r="A145">
        <v>19194072</v>
      </c>
      <c r="B145" t="s">
        <v>211</v>
      </c>
      <c r="C145">
        <v>2009</v>
      </c>
      <c r="D145" t="s">
        <v>124</v>
      </c>
      <c r="E145" t="s">
        <v>77</v>
      </c>
      <c r="F145" t="s">
        <v>64</v>
      </c>
      <c r="G145">
        <v>1</v>
      </c>
      <c r="H145">
        <v>89</v>
      </c>
      <c r="I145" s="1">
        <f t="shared" si="2"/>
        <v>0.0112359550561798</v>
      </c>
      <c r="J145" t="s">
        <v>125</v>
      </c>
      <c r="K145" t="s">
        <v>126</v>
      </c>
      <c r="L145" t="s">
        <v>124</v>
      </c>
      <c r="M145" t="s">
        <v>68</v>
      </c>
      <c r="N145" t="s">
        <v>30</v>
      </c>
    </row>
    <row r="146" spans="1:14">
      <c r="A146">
        <v>19204354</v>
      </c>
      <c r="B146" t="s">
        <v>212</v>
      </c>
      <c r="C146">
        <v>2009</v>
      </c>
      <c r="D146" t="s">
        <v>22</v>
      </c>
      <c r="E146" t="s">
        <v>51</v>
      </c>
      <c r="F146" t="s">
        <v>17</v>
      </c>
      <c r="G146">
        <v>2</v>
      </c>
      <c r="H146">
        <v>22</v>
      </c>
      <c r="I146" s="1">
        <f t="shared" si="2"/>
        <v>0.0909090909090909</v>
      </c>
      <c r="J146" t="s">
        <v>23</v>
      </c>
      <c r="K146" t="s">
        <v>24</v>
      </c>
      <c r="L146" t="s">
        <v>22</v>
      </c>
      <c r="M146" t="s">
        <v>213</v>
      </c>
      <c r="N146" t="s">
        <v>50</v>
      </c>
    </row>
    <row r="147" spans="1:14">
      <c r="A147">
        <v>19204354</v>
      </c>
      <c r="B147" t="s">
        <v>212</v>
      </c>
      <c r="C147">
        <v>2009</v>
      </c>
      <c r="D147" t="s">
        <v>115</v>
      </c>
      <c r="E147" t="s">
        <v>51</v>
      </c>
      <c r="F147" t="s">
        <v>137</v>
      </c>
      <c r="G147">
        <v>2</v>
      </c>
      <c r="H147">
        <v>14</v>
      </c>
      <c r="I147" s="1">
        <f t="shared" si="2"/>
        <v>0.142857142857143</v>
      </c>
      <c r="J147" t="s">
        <v>38</v>
      </c>
      <c r="K147" t="s">
        <v>39</v>
      </c>
      <c r="L147" t="s">
        <v>115</v>
      </c>
      <c r="M147" t="s">
        <v>213</v>
      </c>
      <c r="N147" t="s">
        <v>50</v>
      </c>
    </row>
    <row r="148" spans="1:14">
      <c r="A148">
        <v>19239749</v>
      </c>
      <c r="B148" t="s">
        <v>214</v>
      </c>
      <c r="C148">
        <v>2009</v>
      </c>
      <c r="D148" t="s">
        <v>124</v>
      </c>
      <c r="E148" t="s">
        <v>77</v>
      </c>
      <c r="F148" t="s">
        <v>64</v>
      </c>
      <c r="G148">
        <v>1</v>
      </c>
      <c r="H148">
        <v>26</v>
      </c>
      <c r="I148" s="1">
        <f t="shared" si="2"/>
        <v>0.0384615384615385</v>
      </c>
      <c r="J148" t="s">
        <v>125</v>
      </c>
      <c r="K148" t="s">
        <v>126</v>
      </c>
      <c r="L148" t="s">
        <v>124</v>
      </c>
      <c r="M148" t="s">
        <v>108</v>
      </c>
      <c r="N148" t="s">
        <v>50</v>
      </c>
    </row>
    <row r="149" spans="1:14">
      <c r="A149">
        <v>19270752</v>
      </c>
      <c r="B149" t="s">
        <v>215</v>
      </c>
      <c r="C149">
        <v>2009</v>
      </c>
      <c r="D149" t="s">
        <v>195</v>
      </c>
      <c r="E149" t="s">
        <v>48</v>
      </c>
      <c r="F149" t="s">
        <v>64</v>
      </c>
      <c r="G149">
        <v>2</v>
      </c>
      <c r="H149">
        <v>2</v>
      </c>
      <c r="I149" s="1">
        <f t="shared" si="2"/>
        <v>1</v>
      </c>
      <c r="J149" t="s">
        <v>85</v>
      </c>
      <c r="K149" t="s">
        <v>86</v>
      </c>
      <c r="L149" t="s">
        <v>195</v>
      </c>
      <c r="M149" t="s">
        <v>29</v>
      </c>
      <c r="N149" t="s">
        <v>30</v>
      </c>
    </row>
    <row r="150" spans="1:14">
      <c r="A150">
        <v>19395765</v>
      </c>
      <c r="B150" t="s">
        <v>216</v>
      </c>
      <c r="C150">
        <v>2009</v>
      </c>
      <c r="D150" t="s">
        <v>181</v>
      </c>
      <c r="E150" t="s">
        <v>77</v>
      </c>
      <c r="F150" t="s">
        <v>17</v>
      </c>
      <c r="G150">
        <v>13</v>
      </c>
      <c r="H150">
        <v>20</v>
      </c>
      <c r="I150" s="1">
        <f t="shared" si="2"/>
        <v>0.65</v>
      </c>
      <c r="J150" t="s">
        <v>35</v>
      </c>
      <c r="K150" t="s">
        <v>107</v>
      </c>
      <c r="L150" t="s">
        <v>181</v>
      </c>
      <c r="M150" t="s">
        <v>204</v>
      </c>
      <c r="N150" t="s">
        <v>50</v>
      </c>
    </row>
    <row r="151" spans="1:14">
      <c r="A151">
        <v>19395767</v>
      </c>
      <c r="B151" t="s">
        <v>217</v>
      </c>
      <c r="C151">
        <v>2009</v>
      </c>
      <c r="D151" t="s">
        <v>22</v>
      </c>
      <c r="E151" t="s">
        <v>16</v>
      </c>
      <c r="F151" t="s">
        <v>41</v>
      </c>
      <c r="G151">
        <v>81</v>
      </c>
      <c r="H151">
        <v>512</v>
      </c>
      <c r="I151" s="1">
        <f t="shared" si="2"/>
        <v>0.158203125</v>
      </c>
      <c r="J151" t="s">
        <v>23</v>
      </c>
      <c r="K151" t="s">
        <v>24</v>
      </c>
      <c r="L151" t="s">
        <v>22</v>
      </c>
      <c r="M151" t="s">
        <v>20</v>
      </c>
      <c r="N151" t="s">
        <v>21</v>
      </c>
    </row>
    <row r="152" spans="1:14">
      <c r="A152">
        <v>19395767</v>
      </c>
      <c r="B152" t="s">
        <v>217</v>
      </c>
      <c r="C152">
        <v>2009</v>
      </c>
      <c r="D152" t="s">
        <v>79</v>
      </c>
      <c r="E152" t="s">
        <v>16</v>
      </c>
      <c r="F152" t="s">
        <v>41</v>
      </c>
      <c r="G152">
        <v>0</v>
      </c>
      <c r="H152">
        <v>340</v>
      </c>
      <c r="I152" s="1">
        <f t="shared" si="2"/>
        <v>0</v>
      </c>
      <c r="J152" t="s">
        <v>80</v>
      </c>
      <c r="K152" t="s">
        <v>81</v>
      </c>
      <c r="L152" t="s">
        <v>79</v>
      </c>
      <c r="M152" t="s">
        <v>20</v>
      </c>
      <c r="N152" t="s">
        <v>21</v>
      </c>
    </row>
    <row r="153" spans="1:14">
      <c r="A153">
        <v>19442307</v>
      </c>
      <c r="B153" t="s">
        <v>218</v>
      </c>
      <c r="C153">
        <v>2009</v>
      </c>
      <c r="D153" t="s">
        <v>124</v>
      </c>
      <c r="E153" t="s">
        <v>77</v>
      </c>
      <c r="F153" t="s">
        <v>64</v>
      </c>
      <c r="G153">
        <v>22</v>
      </c>
      <c r="H153">
        <v>148</v>
      </c>
      <c r="I153" s="1">
        <f t="shared" si="2"/>
        <v>0.148648648648649</v>
      </c>
      <c r="J153" t="s">
        <v>125</v>
      </c>
      <c r="K153" t="s">
        <v>126</v>
      </c>
      <c r="L153" t="s">
        <v>124</v>
      </c>
      <c r="M153" t="s">
        <v>49</v>
      </c>
      <c r="N153" t="s">
        <v>50</v>
      </c>
    </row>
    <row r="154" spans="1:14">
      <c r="A154">
        <v>19521660</v>
      </c>
      <c r="B154" t="s">
        <v>219</v>
      </c>
      <c r="C154">
        <v>2009</v>
      </c>
      <c r="D154" t="s">
        <v>45</v>
      </c>
      <c r="E154" t="s">
        <v>51</v>
      </c>
      <c r="F154" t="s">
        <v>64</v>
      </c>
      <c r="G154">
        <v>401</v>
      </c>
      <c r="H154">
        <v>52226</v>
      </c>
      <c r="I154" s="1">
        <f t="shared" si="2"/>
        <v>0.00767816796231762</v>
      </c>
      <c r="J154" t="s">
        <v>23</v>
      </c>
      <c r="K154" t="s">
        <v>46</v>
      </c>
      <c r="L154" t="s">
        <v>45</v>
      </c>
      <c r="M154" t="s">
        <v>49</v>
      </c>
      <c r="N154" t="s">
        <v>50</v>
      </c>
    </row>
    <row r="155" spans="1:14">
      <c r="A155">
        <v>19595519</v>
      </c>
      <c r="B155" t="s">
        <v>220</v>
      </c>
      <c r="C155">
        <v>2009</v>
      </c>
      <c r="D155" t="s">
        <v>124</v>
      </c>
      <c r="E155" t="s">
        <v>77</v>
      </c>
      <c r="F155" t="s">
        <v>64</v>
      </c>
      <c r="G155">
        <v>90</v>
      </c>
      <c r="H155">
        <v>132</v>
      </c>
      <c r="I155" s="1">
        <f t="shared" si="2"/>
        <v>0.681818181818182</v>
      </c>
      <c r="J155" t="s">
        <v>125</v>
      </c>
      <c r="K155" t="s">
        <v>126</v>
      </c>
      <c r="L155" t="s">
        <v>124</v>
      </c>
      <c r="M155" t="s">
        <v>49</v>
      </c>
      <c r="N155" t="s">
        <v>50</v>
      </c>
    </row>
    <row r="156" spans="1:14">
      <c r="A156">
        <v>19617481</v>
      </c>
      <c r="B156" t="s">
        <v>117</v>
      </c>
      <c r="C156">
        <v>2009</v>
      </c>
      <c r="D156" t="s">
        <v>15</v>
      </c>
      <c r="E156" t="s">
        <v>77</v>
      </c>
      <c r="F156" t="s">
        <v>28</v>
      </c>
      <c r="G156">
        <v>10</v>
      </c>
      <c r="H156">
        <v>170</v>
      </c>
      <c r="I156" s="1">
        <f t="shared" si="2"/>
        <v>0.0588235294117647</v>
      </c>
      <c r="J156" t="s">
        <v>18</v>
      </c>
      <c r="K156" t="s">
        <v>19</v>
      </c>
      <c r="L156" t="s">
        <v>15</v>
      </c>
      <c r="M156" t="s">
        <v>20</v>
      </c>
      <c r="N156" t="s">
        <v>21</v>
      </c>
    </row>
    <row r="157" spans="1:14">
      <c r="A157">
        <v>19617481</v>
      </c>
      <c r="B157" t="s">
        <v>117</v>
      </c>
      <c r="C157">
        <v>2009</v>
      </c>
      <c r="D157" t="s">
        <v>79</v>
      </c>
      <c r="E157" t="s">
        <v>77</v>
      </c>
      <c r="F157" t="s">
        <v>28</v>
      </c>
      <c r="G157">
        <v>1</v>
      </c>
      <c r="H157">
        <v>169</v>
      </c>
      <c r="I157" s="1">
        <f t="shared" si="2"/>
        <v>0.00591715976331361</v>
      </c>
      <c r="J157" t="s">
        <v>80</v>
      </c>
      <c r="K157" t="s">
        <v>81</v>
      </c>
      <c r="L157" t="s">
        <v>79</v>
      </c>
      <c r="M157" t="s">
        <v>20</v>
      </c>
      <c r="N157" t="s">
        <v>21</v>
      </c>
    </row>
    <row r="158" spans="1:14">
      <c r="A158">
        <v>19617481</v>
      </c>
      <c r="B158" t="s">
        <v>117</v>
      </c>
      <c r="C158">
        <v>2009</v>
      </c>
      <c r="D158" t="s">
        <v>84</v>
      </c>
      <c r="E158" t="s">
        <v>77</v>
      </c>
      <c r="F158" t="s">
        <v>28</v>
      </c>
      <c r="G158">
        <v>108</v>
      </c>
      <c r="H158">
        <v>168</v>
      </c>
      <c r="I158" s="1">
        <f t="shared" si="2"/>
        <v>0.642857142857143</v>
      </c>
      <c r="J158" t="s">
        <v>85</v>
      </c>
      <c r="K158" t="s">
        <v>86</v>
      </c>
      <c r="L158" t="s">
        <v>84</v>
      </c>
      <c r="M158" t="s">
        <v>20</v>
      </c>
      <c r="N158" t="s">
        <v>21</v>
      </c>
    </row>
    <row r="159" spans="1:14">
      <c r="A159">
        <v>19617481</v>
      </c>
      <c r="B159" t="s">
        <v>117</v>
      </c>
      <c r="C159">
        <v>2009</v>
      </c>
      <c r="D159" t="s">
        <v>93</v>
      </c>
      <c r="E159" t="s">
        <v>77</v>
      </c>
      <c r="F159" t="s">
        <v>28</v>
      </c>
      <c r="G159">
        <v>115</v>
      </c>
      <c r="H159">
        <v>169</v>
      </c>
      <c r="I159" s="1">
        <f t="shared" si="2"/>
        <v>0.680473372781065</v>
      </c>
      <c r="J159" t="s">
        <v>94</v>
      </c>
      <c r="K159" t="s">
        <v>95</v>
      </c>
      <c r="L159" t="s">
        <v>93</v>
      </c>
      <c r="M159" t="s">
        <v>20</v>
      </c>
      <c r="N159" t="s">
        <v>21</v>
      </c>
    </row>
    <row r="160" spans="1:14">
      <c r="A160">
        <v>19721351</v>
      </c>
      <c r="B160" t="s">
        <v>221</v>
      </c>
      <c r="C160">
        <v>2009</v>
      </c>
      <c r="D160" t="s">
        <v>71</v>
      </c>
      <c r="E160" t="s">
        <v>16</v>
      </c>
      <c r="F160" t="s">
        <v>64</v>
      </c>
      <c r="G160">
        <v>11</v>
      </c>
      <c r="H160">
        <v>549</v>
      </c>
      <c r="I160" s="1">
        <f t="shared" si="2"/>
        <v>0.0200364298724954</v>
      </c>
      <c r="J160" t="s">
        <v>23</v>
      </c>
      <c r="K160" t="s">
        <v>72</v>
      </c>
      <c r="L160" t="s">
        <v>71</v>
      </c>
      <c r="M160" t="s">
        <v>68</v>
      </c>
      <c r="N160" t="s">
        <v>30</v>
      </c>
    </row>
    <row r="161" spans="1:14">
      <c r="A161">
        <v>19721354</v>
      </c>
      <c r="B161" t="s">
        <v>222</v>
      </c>
      <c r="C161">
        <v>2009</v>
      </c>
      <c r="D161" t="s">
        <v>176</v>
      </c>
      <c r="E161" t="s">
        <v>77</v>
      </c>
      <c r="F161" t="s">
        <v>17</v>
      </c>
      <c r="G161">
        <v>30</v>
      </c>
      <c r="H161">
        <v>36</v>
      </c>
      <c r="I161" s="1">
        <f t="shared" si="2"/>
        <v>0.833333333333333</v>
      </c>
      <c r="J161" t="s">
        <v>55</v>
      </c>
      <c r="K161" t="s">
        <v>56</v>
      </c>
      <c r="L161" t="s">
        <v>176</v>
      </c>
      <c r="M161" t="s">
        <v>68</v>
      </c>
      <c r="N161" t="s">
        <v>30</v>
      </c>
    </row>
    <row r="162" spans="1:14">
      <c r="A162">
        <v>19721354</v>
      </c>
      <c r="B162" t="s">
        <v>222</v>
      </c>
      <c r="C162">
        <v>2009</v>
      </c>
      <c r="D162" t="s">
        <v>176</v>
      </c>
      <c r="E162" t="s">
        <v>16</v>
      </c>
      <c r="F162" t="s">
        <v>17</v>
      </c>
      <c r="G162">
        <v>109</v>
      </c>
      <c r="H162">
        <v>204</v>
      </c>
      <c r="I162" s="1">
        <f t="shared" si="2"/>
        <v>0.534313725490196</v>
      </c>
      <c r="J162" t="s">
        <v>55</v>
      </c>
      <c r="K162" t="s">
        <v>56</v>
      </c>
      <c r="L162" t="s">
        <v>176</v>
      </c>
      <c r="M162" t="s">
        <v>68</v>
      </c>
      <c r="N162" t="s">
        <v>30</v>
      </c>
    </row>
    <row r="163" spans="1:14">
      <c r="A163">
        <v>19721354</v>
      </c>
      <c r="B163" t="s">
        <v>222</v>
      </c>
      <c r="C163">
        <v>2009</v>
      </c>
      <c r="D163" t="s">
        <v>176</v>
      </c>
      <c r="E163" t="s">
        <v>48</v>
      </c>
      <c r="F163" t="s">
        <v>17</v>
      </c>
      <c r="G163">
        <v>12</v>
      </c>
      <c r="H163">
        <v>19</v>
      </c>
      <c r="I163" s="1">
        <f t="shared" si="2"/>
        <v>0.631578947368421</v>
      </c>
      <c r="J163" t="s">
        <v>55</v>
      </c>
      <c r="K163" t="s">
        <v>56</v>
      </c>
      <c r="L163" t="s">
        <v>176</v>
      </c>
      <c r="M163" t="s">
        <v>68</v>
      </c>
      <c r="N163" t="s">
        <v>30</v>
      </c>
    </row>
    <row r="164" spans="1:14">
      <c r="A164">
        <v>19731524</v>
      </c>
      <c r="B164" t="s">
        <v>223</v>
      </c>
      <c r="C164">
        <v>2009</v>
      </c>
      <c r="D164" t="s">
        <v>45</v>
      </c>
      <c r="E164" t="s">
        <v>77</v>
      </c>
      <c r="F164" t="s">
        <v>64</v>
      </c>
      <c r="G164">
        <v>0</v>
      </c>
      <c r="H164">
        <v>16</v>
      </c>
      <c r="I164" s="1">
        <f t="shared" si="2"/>
        <v>0</v>
      </c>
      <c r="J164" t="s">
        <v>23</v>
      </c>
      <c r="K164" t="s">
        <v>46</v>
      </c>
      <c r="L164" t="s">
        <v>45</v>
      </c>
      <c r="M164" t="s">
        <v>29</v>
      </c>
      <c r="N164" t="s">
        <v>30</v>
      </c>
    </row>
    <row r="165" spans="1:14">
      <c r="A165">
        <v>19747861</v>
      </c>
      <c r="B165" t="s">
        <v>224</v>
      </c>
      <c r="C165">
        <v>2010</v>
      </c>
      <c r="D165" t="s">
        <v>124</v>
      </c>
      <c r="E165" t="s">
        <v>77</v>
      </c>
      <c r="F165" t="s">
        <v>64</v>
      </c>
      <c r="G165">
        <v>7</v>
      </c>
      <c r="H165">
        <v>285</v>
      </c>
      <c r="I165" s="1">
        <f t="shared" si="2"/>
        <v>0.0245614035087719</v>
      </c>
      <c r="J165" t="s">
        <v>125</v>
      </c>
      <c r="K165" t="s">
        <v>126</v>
      </c>
      <c r="L165" t="s">
        <v>124</v>
      </c>
      <c r="M165" t="s">
        <v>70</v>
      </c>
      <c r="N165" t="s">
        <v>50</v>
      </c>
    </row>
    <row r="166" spans="1:14">
      <c r="A166">
        <v>19756151</v>
      </c>
      <c r="B166" t="s">
        <v>225</v>
      </c>
      <c r="C166">
        <v>2009</v>
      </c>
      <c r="D166" t="s">
        <v>115</v>
      </c>
      <c r="E166" t="s">
        <v>51</v>
      </c>
      <c r="F166" t="s">
        <v>137</v>
      </c>
      <c r="G166">
        <v>4</v>
      </c>
      <c r="H166">
        <v>9</v>
      </c>
      <c r="I166" s="1">
        <f t="shared" si="2"/>
        <v>0.444444444444444</v>
      </c>
      <c r="J166" t="s">
        <v>38</v>
      </c>
      <c r="K166" t="s">
        <v>39</v>
      </c>
      <c r="L166" t="s">
        <v>115</v>
      </c>
      <c r="M166" t="s">
        <v>20</v>
      </c>
      <c r="N166" t="s">
        <v>21</v>
      </c>
    </row>
    <row r="167" spans="1:14">
      <c r="A167">
        <v>19756151</v>
      </c>
      <c r="B167" t="s">
        <v>225</v>
      </c>
      <c r="C167">
        <v>2009</v>
      </c>
      <c r="D167" t="s">
        <v>110</v>
      </c>
      <c r="E167" t="s">
        <v>51</v>
      </c>
      <c r="F167" t="s">
        <v>17</v>
      </c>
      <c r="G167">
        <v>4</v>
      </c>
      <c r="H167">
        <v>9</v>
      </c>
      <c r="I167" s="1">
        <f t="shared" si="2"/>
        <v>0.444444444444444</v>
      </c>
      <c r="J167" t="s">
        <v>43</v>
      </c>
      <c r="K167" t="s">
        <v>44</v>
      </c>
      <c r="L167" t="s">
        <v>110</v>
      </c>
      <c r="M167" t="s">
        <v>20</v>
      </c>
      <c r="N167" t="s">
        <v>21</v>
      </c>
    </row>
    <row r="168" spans="1:14">
      <c r="A168">
        <v>19756151</v>
      </c>
      <c r="B168" t="s">
        <v>225</v>
      </c>
      <c r="C168">
        <v>2009</v>
      </c>
      <c r="D168" t="s">
        <v>111</v>
      </c>
      <c r="E168" t="s">
        <v>51</v>
      </c>
      <c r="F168" t="s">
        <v>17</v>
      </c>
      <c r="G168">
        <v>1</v>
      </c>
      <c r="H168">
        <v>9</v>
      </c>
      <c r="I168" s="1">
        <f t="shared" si="2"/>
        <v>0.111111111111111</v>
      </c>
      <c r="J168" t="s">
        <v>18</v>
      </c>
      <c r="K168" t="s">
        <v>19</v>
      </c>
      <c r="L168" t="s">
        <v>111</v>
      </c>
      <c r="M168" t="s">
        <v>20</v>
      </c>
      <c r="N168" t="s">
        <v>21</v>
      </c>
    </row>
    <row r="169" spans="1:14">
      <c r="A169">
        <v>19756151</v>
      </c>
      <c r="B169" t="s">
        <v>225</v>
      </c>
      <c r="C169">
        <v>2009</v>
      </c>
      <c r="D169" t="s">
        <v>22</v>
      </c>
      <c r="E169" t="s">
        <v>51</v>
      </c>
      <c r="F169" t="s">
        <v>17</v>
      </c>
      <c r="G169">
        <v>3</v>
      </c>
      <c r="H169">
        <v>9</v>
      </c>
      <c r="I169" s="1">
        <f t="shared" si="2"/>
        <v>0.333333333333333</v>
      </c>
      <c r="J169" t="s">
        <v>23</v>
      </c>
      <c r="K169" t="s">
        <v>24</v>
      </c>
      <c r="L169" t="s">
        <v>22</v>
      </c>
      <c r="M169" t="s">
        <v>20</v>
      </c>
      <c r="N169" t="s">
        <v>21</v>
      </c>
    </row>
    <row r="170" spans="1:14">
      <c r="A170">
        <v>19848088</v>
      </c>
      <c r="B170" t="s">
        <v>226</v>
      </c>
      <c r="C170">
        <v>2009</v>
      </c>
      <c r="D170" t="s">
        <v>195</v>
      </c>
      <c r="E170" t="s">
        <v>16</v>
      </c>
      <c r="F170" t="s">
        <v>137</v>
      </c>
      <c r="G170">
        <v>1</v>
      </c>
      <c r="H170">
        <v>1</v>
      </c>
      <c r="I170" s="1">
        <f t="shared" si="2"/>
        <v>1</v>
      </c>
      <c r="J170" t="s">
        <v>85</v>
      </c>
      <c r="K170" t="s">
        <v>86</v>
      </c>
      <c r="L170" t="s">
        <v>195</v>
      </c>
      <c r="M170" t="s">
        <v>20</v>
      </c>
      <c r="N170" t="s">
        <v>21</v>
      </c>
    </row>
    <row r="171" spans="1:14">
      <c r="A171">
        <v>19901390</v>
      </c>
      <c r="B171" t="s">
        <v>227</v>
      </c>
      <c r="C171">
        <v>2009</v>
      </c>
      <c r="D171" t="s">
        <v>228</v>
      </c>
      <c r="E171" t="s">
        <v>16</v>
      </c>
      <c r="F171" t="s">
        <v>17</v>
      </c>
      <c r="G171">
        <v>4</v>
      </c>
      <c r="H171">
        <v>29</v>
      </c>
      <c r="I171" s="1">
        <f t="shared" si="2"/>
        <v>0.137931034482759</v>
      </c>
      <c r="J171" t="s">
        <v>55</v>
      </c>
      <c r="K171" t="s">
        <v>56</v>
      </c>
      <c r="L171" t="s">
        <v>228</v>
      </c>
      <c r="M171" t="s">
        <v>20</v>
      </c>
      <c r="N171" t="s">
        <v>21</v>
      </c>
    </row>
    <row r="172" spans="1:14">
      <c r="A172">
        <v>19901390</v>
      </c>
      <c r="B172" t="s">
        <v>227</v>
      </c>
      <c r="C172">
        <v>2009</v>
      </c>
      <c r="D172" t="s">
        <v>57</v>
      </c>
      <c r="E172" t="s">
        <v>16</v>
      </c>
      <c r="F172" t="s">
        <v>17</v>
      </c>
      <c r="G172">
        <v>10</v>
      </c>
      <c r="H172">
        <v>29</v>
      </c>
      <c r="I172" s="1">
        <f t="shared" si="2"/>
        <v>0.344827586206897</v>
      </c>
      <c r="J172" t="s">
        <v>55</v>
      </c>
      <c r="K172" t="s">
        <v>56</v>
      </c>
      <c r="L172" t="s">
        <v>57</v>
      </c>
      <c r="M172" t="s">
        <v>20</v>
      </c>
      <c r="N172" t="s">
        <v>21</v>
      </c>
    </row>
    <row r="173" spans="1:14">
      <c r="A173">
        <v>19930716</v>
      </c>
      <c r="B173" t="s">
        <v>229</v>
      </c>
      <c r="C173">
        <v>2009</v>
      </c>
      <c r="D173" t="s">
        <v>230</v>
      </c>
      <c r="E173" t="s">
        <v>167</v>
      </c>
      <c r="F173" t="s">
        <v>64</v>
      </c>
      <c r="G173">
        <v>25</v>
      </c>
      <c r="H173">
        <v>88</v>
      </c>
      <c r="I173" s="1">
        <f t="shared" si="2"/>
        <v>0.284090909090909</v>
      </c>
      <c r="J173" t="s">
        <v>231</v>
      </c>
      <c r="K173" t="s">
        <v>61</v>
      </c>
      <c r="L173" t="s">
        <v>230</v>
      </c>
      <c r="M173" t="s">
        <v>232</v>
      </c>
      <c r="N173" t="s">
        <v>50</v>
      </c>
    </row>
    <row r="174" spans="1:14">
      <c r="A174" t="s">
        <v>233</v>
      </c>
      <c r="B174" t="s">
        <v>234</v>
      </c>
      <c r="C174">
        <v>2015</v>
      </c>
      <c r="D174" t="s">
        <v>93</v>
      </c>
      <c r="E174" t="s">
        <v>77</v>
      </c>
      <c r="F174" t="s">
        <v>64</v>
      </c>
      <c r="G174">
        <v>1</v>
      </c>
      <c r="H174">
        <v>1</v>
      </c>
      <c r="I174" s="1">
        <f t="shared" si="2"/>
        <v>1</v>
      </c>
      <c r="J174" t="s">
        <v>94</v>
      </c>
      <c r="K174" t="s">
        <v>95</v>
      </c>
      <c r="L174" t="s">
        <v>93</v>
      </c>
      <c r="M174" t="s">
        <v>29</v>
      </c>
      <c r="N174" t="s">
        <v>30</v>
      </c>
    </row>
    <row r="175" spans="1:14">
      <c r="A175" t="s">
        <v>235</v>
      </c>
      <c r="B175" t="s">
        <v>236</v>
      </c>
      <c r="C175">
        <v>2017</v>
      </c>
      <c r="D175" t="s">
        <v>79</v>
      </c>
      <c r="E175" t="s">
        <v>77</v>
      </c>
      <c r="F175" t="s">
        <v>64</v>
      </c>
      <c r="G175">
        <v>0</v>
      </c>
      <c r="H175">
        <v>1</v>
      </c>
      <c r="I175" s="1">
        <f t="shared" si="2"/>
        <v>0</v>
      </c>
      <c r="J175" t="s">
        <v>80</v>
      </c>
      <c r="K175" t="s">
        <v>81</v>
      </c>
      <c r="L175" t="s">
        <v>79</v>
      </c>
      <c r="M175" t="s">
        <v>29</v>
      </c>
      <c r="N175" t="s">
        <v>30</v>
      </c>
    </row>
    <row r="176" spans="1:14">
      <c r="A176" t="s">
        <v>235</v>
      </c>
      <c r="B176" t="s">
        <v>236</v>
      </c>
      <c r="C176">
        <v>2017</v>
      </c>
      <c r="D176" t="s">
        <v>83</v>
      </c>
      <c r="E176" t="s">
        <v>77</v>
      </c>
      <c r="F176" t="s">
        <v>64</v>
      </c>
      <c r="G176">
        <v>0</v>
      </c>
      <c r="H176">
        <v>1</v>
      </c>
      <c r="I176" s="1">
        <f t="shared" si="2"/>
        <v>0</v>
      </c>
      <c r="J176" t="s">
        <v>55</v>
      </c>
      <c r="K176" t="s">
        <v>56</v>
      </c>
      <c r="L176" t="s">
        <v>83</v>
      </c>
      <c r="M176" t="s">
        <v>29</v>
      </c>
      <c r="N176" t="s">
        <v>30</v>
      </c>
    </row>
    <row r="177" spans="1:14">
      <c r="A177" t="s">
        <v>235</v>
      </c>
      <c r="B177" t="s">
        <v>236</v>
      </c>
      <c r="C177">
        <v>2017</v>
      </c>
      <c r="D177" t="s">
        <v>15</v>
      </c>
      <c r="E177" t="s">
        <v>77</v>
      </c>
      <c r="F177" t="s">
        <v>64</v>
      </c>
      <c r="G177">
        <v>0</v>
      </c>
      <c r="H177">
        <v>1</v>
      </c>
      <c r="I177" s="1">
        <f t="shared" si="2"/>
        <v>0</v>
      </c>
      <c r="J177" t="s">
        <v>18</v>
      </c>
      <c r="K177" t="s">
        <v>19</v>
      </c>
      <c r="L177" t="s">
        <v>15</v>
      </c>
      <c r="M177" t="s">
        <v>29</v>
      </c>
      <c r="N177" t="s">
        <v>30</v>
      </c>
    </row>
    <row r="178" spans="1:14">
      <c r="A178" t="s">
        <v>235</v>
      </c>
      <c r="B178" t="s">
        <v>236</v>
      </c>
      <c r="C178">
        <v>2017</v>
      </c>
      <c r="D178" t="s">
        <v>82</v>
      </c>
      <c r="E178" t="s">
        <v>77</v>
      </c>
      <c r="F178" t="s">
        <v>64</v>
      </c>
      <c r="G178">
        <v>1</v>
      </c>
      <c r="H178">
        <v>1</v>
      </c>
      <c r="I178" s="1">
        <f t="shared" si="2"/>
        <v>1</v>
      </c>
      <c r="J178" t="s">
        <v>38</v>
      </c>
      <c r="K178" t="s">
        <v>39</v>
      </c>
      <c r="L178" t="s">
        <v>82</v>
      </c>
      <c r="M178" t="s">
        <v>29</v>
      </c>
      <c r="N178" t="s">
        <v>30</v>
      </c>
    </row>
    <row r="179" spans="1:14">
      <c r="A179" t="s">
        <v>235</v>
      </c>
      <c r="B179" t="s">
        <v>236</v>
      </c>
      <c r="C179">
        <v>2017</v>
      </c>
      <c r="D179" t="s">
        <v>205</v>
      </c>
      <c r="E179" t="s">
        <v>77</v>
      </c>
      <c r="F179" t="s">
        <v>64</v>
      </c>
      <c r="G179">
        <v>1</v>
      </c>
      <c r="H179">
        <v>1</v>
      </c>
      <c r="I179" s="1">
        <f t="shared" si="2"/>
        <v>1</v>
      </c>
      <c r="J179" t="s">
        <v>94</v>
      </c>
      <c r="K179" t="s">
        <v>95</v>
      </c>
      <c r="L179" t="s">
        <v>205</v>
      </c>
      <c r="M179" t="s">
        <v>29</v>
      </c>
      <c r="N179" t="s">
        <v>30</v>
      </c>
    </row>
    <row r="180" spans="1:14">
      <c r="A180" t="s">
        <v>235</v>
      </c>
      <c r="B180" t="s">
        <v>236</v>
      </c>
      <c r="C180">
        <v>2017</v>
      </c>
      <c r="D180" t="s">
        <v>93</v>
      </c>
      <c r="E180" t="s">
        <v>77</v>
      </c>
      <c r="F180" t="s">
        <v>64</v>
      </c>
      <c r="G180">
        <v>1</v>
      </c>
      <c r="H180">
        <v>1</v>
      </c>
      <c r="I180" s="1">
        <f t="shared" si="2"/>
        <v>1</v>
      </c>
      <c r="J180" t="s">
        <v>94</v>
      </c>
      <c r="K180" t="s">
        <v>95</v>
      </c>
      <c r="L180" t="s">
        <v>93</v>
      </c>
      <c r="M180" t="s">
        <v>29</v>
      </c>
      <c r="N180" t="s">
        <v>30</v>
      </c>
    </row>
    <row r="181" spans="1:14">
      <c r="A181">
        <v>20045856</v>
      </c>
      <c r="B181" t="s">
        <v>237</v>
      </c>
      <c r="C181">
        <v>2010</v>
      </c>
      <c r="D181" t="s">
        <v>115</v>
      </c>
      <c r="E181" t="s">
        <v>16</v>
      </c>
      <c r="F181" t="s">
        <v>64</v>
      </c>
      <c r="G181">
        <v>1</v>
      </c>
      <c r="H181">
        <v>1</v>
      </c>
      <c r="I181" s="1">
        <f t="shared" si="2"/>
        <v>1</v>
      </c>
      <c r="J181" t="s">
        <v>38</v>
      </c>
      <c r="K181" t="s">
        <v>39</v>
      </c>
      <c r="L181" t="s">
        <v>115</v>
      </c>
      <c r="M181" t="s">
        <v>20</v>
      </c>
      <c r="N181" t="s">
        <v>21</v>
      </c>
    </row>
    <row r="182" spans="1:14">
      <c r="A182">
        <v>20046037</v>
      </c>
      <c r="B182" t="s">
        <v>238</v>
      </c>
      <c r="C182">
        <v>2009</v>
      </c>
      <c r="D182" t="s">
        <v>22</v>
      </c>
      <c r="E182" t="s">
        <v>16</v>
      </c>
      <c r="F182" t="s">
        <v>17</v>
      </c>
      <c r="G182">
        <v>34</v>
      </c>
      <c r="H182">
        <v>106</v>
      </c>
      <c r="I182" s="1">
        <f t="shared" si="2"/>
        <v>0.320754716981132</v>
      </c>
      <c r="J182" t="s">
        <v>23</v>
      </c>
      <c r="K182" t="s">
        <v>24</v>
      </c>
      <c r="L182" t="s">
        <v>22</v>
      </c>
      <c r="M182" t="s">
        <v>68</v>
      </c>
      <c r="N182" t="s">
        <v>30</v>
      </c>
    </row>
    <row r="183" spans="1:14">
      <c r="A183" t="s">
        <v>239</v>
      </c>
      <c r="B183" t="s">
        <v>240</v>
      </c>
      <c r="C183">
        <v>2008</v>
      </c>
      <c r="D183" t="s">
        <v>22</v>
      </c>
      <c r="E183" t="s">
        <v>48</v>
      </c>
      <c r="F183" t="s">
        <v>64</v>
      </c>
      <c r="G183">
        <v>43</v>
      </c>
      <c r="H183">
        <v>108</v>
      </c>
      <c r="I183" s="1">
        <f t="shared" si="2"/>
        <v>0.398148148148148</v>
      </c>
      <c r="J183" t="s">
        <v>23</v>
      </c>
      <c r="K183" t="s">
        <v>24</v>
      </c>
      <c r="L183" t="s">
        <v>22</v>
      </c>
      <c r="M183" t="s">
        <v>29</v>
      </c>
      <c r="N183" t="s">
        <v>30</v>
      </c>
    </row>
    <row r="184" spans="1:14">
      <c r="A184">
        <v>20090052</v>
      </c>
      <c r="B184" t="s">
        <v>241</v>
      </c>
      <c r="C184">
        <v>2010</v>
      </c>
      <c r="D184" t="s">
        <v>82</v>
      </c>
      <c r="E184" t="s">
        <v>77</v>
      </c>
      <c r="F184" t="s">
        <v>28</v>
      </c>
      <c r="G184">
        <v>27</v>
      </c>
      <c r="H184">
        <v>342</v>
      </c>
      <c r="I184" s="1">
        <f t="shared" si="2"/>
        <v>0.0789473684210526</v>
      </c>
      <c r="J184" t="s">
        <v>38</v>
      </c>
      <c r="K184" t="s">
        <v>39</v>
      </c>
      <c r="L184" t="s">
        <v>82</v>
      </c>
      <c r="M184" t="s">
        <v>75</v>
      </c>
      <c r="N184" t="s">
        <v>50</v>
      </c>
    </row>
    <row r="185" spans="1:14">
      <c r="A185">
        <v>20090052</v>
      </c>
      <c r="B185" t="s">
        <v>241</v>
      </c>
      <c r="C185">
        <v>2010</v>
      </c>
      <c r="D185" t="s">
        <v>163</v>
      </c>
      <c r="E185" t="s">
        <v>77</v>
      </c>
      <c r="F185" t="s">
        <v>28</v>
      </c>
      <c r="G185">
        <v>0</v>
      </c>
      <c r="H185">
        <v>342</v>
      </c>
      <c r="I185" s="1">
        <f t="shared" si="2"/>
        <v>0</v>
      </c>
      <c r="J185" t="s">
        <v>35</v>
      </c>
      <c r="K185" t="s">
        <v>107</v>
      </c>
      <c r="L185" t="s">
        <v>163</v>
      </c>
      <c r="M185" t="s">
        <v>75</v>
      </c>
      <c r="N185" t="s">
        <v>50</v>
      </c>
    </row>
    <row r="186" spans="1:14">
      <c r="A186">
        <v>20090052</v>
      </c>
      <c r="B186" t="s">
        <v>241</v>
      </c>
      <c r="C186">
        <v>2010</v>
      </c>
      <c r="D186" t="s">
        <v>83</v>
      </c>
      <c r="E186" t="s">
        <v>77</v>
      </c>
      <c r="F186" t="s">
        <v>28</v>
      </c>
      <c r="G186">
        <v>0</v>
      </c>
      <c r="H186">
        <v>342</v>
      </c>
      <c r="I186" s="1">
        <f t="shared" si="2"/>
        <v>0</v>
      </c>
      <c r="J186" t="s">
        <v>55</v>
      </c>
      <c r="K186" t="s">
        <v>56</v>
      </c>
      <c r="L186" t="s">
        <v>83</v>
      </c>
      <c r="M186" t="s">
        <v>75</v>
      </c>
      <c r="N186" t="s">
        <v>50</v>
      </c>
    </row>
    <row r="187" spans="1:14">
      <c r="A187">
        <v>20090052</v>
      </c>
      <c r="B187" t="s">
        <v>241</v>
      </c>
      <c r="C187">
        <v>2010</v>
      </c>
      <c r="D187" t="s">
        <v>15</v>
      </c>
      <c r="E187" t="s">
        <v>77</v>
      </c>
      <c r="F187" t="s">
        <v>28</v>
      </c>
      <c r="G187">
        <v>105</v>
      </c>
      <c r="H187">
        <v>342</v>
      </c>
      <c r="I187" s="1">
        <f t="shared" si="2"/>
        <v>0.307017543859649</v>
      </c>
      <c r="J187" t="s">
        <v>18</v>
      </c>
      <c r="K187" t="s">
        <v>19</v>
      </c>
      <c r="L187" t="s">
        <v>15</v>
      </c>
      <c r="M187" t="s">
        <v>75</v>
      </c>
      <c r="N187" t="s">
        <v>50</v>
      </c>
    </row>
    <row r="188" spans="1:14">
      <c r="A188">
        <v>20090052</v>
      </c>
      <c r="B188" t="s">
        <v>241</v>
      </c>
      <c r="C188">
        <v>2010</v>
      </c>
      <c r="D188" t="s">
        <v>79</v>
      </c>
      <c r="E188" t="s">
        <v>77</v>
      </c>
      <c r="F188" t="s">
        <v>28</v>
      </c>
      <c r="G188">
        <v>129</v>
      </c>
      <c r="H188">
        <v>342</v>
      </c>
      <c r="I188" s="1">
        <f t="shared" si="2"/>
        <v>0.37719298245614</v>
      </c>
      <c r="J188" t="s">
        <v>80</v>
      </c>
      <c r="K188" t="s">
        <v>81</v>
      </c>
      <c r="L188" t="s">
        <v>79</v>
      </c>
      <c r="M188" t="s">
        <v>75</v>
      </c>
      <c r="N188" t="s">
        <v>50</v>
      </c>
    </row>
    <row r="189" spans="1:14">
      <c r="A189">
        <v>20097890</v>
      </c>
      <c r="B189" t="s">
        <v>242</v>
      </c>
      <c r="C189">
        <v>2010</v>
      </c>
      <c r="D189" t="s">
        <v>110</v>
      </c>
      <c r="E189" t="s">
        <v>51</v>
      </c>
      <c r="F189" t="s">
        <v>128</v>
      </c>
      <c r="G189">
        <v>14</v>
      </c>
      <c r="H189">
        <v>61</v>
      </c>
      <c r="I189" s="1">
        <f t="shared" si="2"/>
        <v>0.229508196721311</v>
      </c>
      <c r="J189" t="s">
        <v>43</v>
      </c>
      <c r="K189" t="s">
        <v>44</v>
      </c>
      <c r="L189" t="s">
        <v>110</v>
      </c>
      <c r="M189" t="s">
        <v>243</v>
      </c>
      <c r="N189" t="s">
        <v>50</v>
      </c>
    </row>
    <row r="190" spans="1:14">
      <c r="A190">
        <v>20133953</v>
      </c>
      <c r="B190" t="s">
        <v>244</v>
      </c>
      <c r="C190">
        <v>2010</v>
      </c>
      <c r="D190" t="s">
        <v>71</v>
      </c>
      <c r="E190" t="s">
        <v>167</v>
      </c>
      <c r="F190" t="s">
        <v>64</v>
      </c>
      <c r="G190">
        <v>0</v>
      </c>
      <c r="H190">
        <v>6</v>
      </c>
      <c r="I190" s="1">
        <f t="shared" si="2"/>
        <v>0</v>
      </c>
      <c r="J190" t="s">
        <v>245</v>
      </c>
      <c r="K190" t="s">
        <v>72</v>
      </c>
      <c r="L190" t="s">
        <v>71</v>
      </c>
      <c r="M190" t="s">
        <v>246</v>
      </c>
      <c r="N190" t="s">
        <v>50</v>
      </c>
    </row>
    <row r="191" spans="1:14">
      <c r="A191" t="s">
        <v>247</v>
      </c>
      <c r="B191" t="s">
        <v>234</v>
      </c>
      <c r="C191">
        <v>2020</v>
      </c>
      <c r="D191" t="s">
        <v>110</v>
      </c>
      <c r="E191" t="s">
        <v>27</v>
      </c>
      <c r="F191" t="s">
        <v>17</v>
      </c>
      <c r="G191">
        <v>0</v>
      </c>
      <c r="H191">
        <v>34</v>
      </c>
      <c r="I191" s="1">
        <f t="shared" si="2"/>
        <v>0</v>
      </c>
      <c r="J191" t="s">
        <v>43</v>
      </c>
      <c r="K191" t="s">
        <v>44</v>
      </c>
      <c r="L191" t="s">
        <v>110</v>
      </c>
      <c r="M191" t="s">
        <v>29</v>
      </c>
      <c r="N191" t="s">
        <v>30</v>
      </c>
    </row>
    <row r="192" spans="1:14">
      <c r="A192" t="s">
        <v>247</v>
      </c>
      <c r="B192" t="s">
        <v>234</v>
      </c>
      <c r="C192">
        <v>2020</v>
      </c>
      <c r="D192" t="s">
        <v>110</v>
      </c>
      <c r="E192" t="s">
        <v>48</v>
      </c>
      <c r="F192" t="s">
        <v>17</v>
      </c>
      <c r="G192">
        <v>34</v>
      </c>
      <c r="H192">
        <v>34</v>
      </c>
      <c r="I192" s="1">
        <f t="shared" si="2"/>
        <v>1</v>
      </c>
      <c r="J192" t="s">
        <v>43</v>
      </c>
      <c r="K192" t="s">
        <v>44</v>
      </c>
      <c r="L192" t="s">
        <v>110</v>
      </c>
      <c r="M192" t="s">
        <v>29</v>
      </c>
      <c r="N192" t="s">
        <v>30</v>
      </c>
    </row>
    <row r="193" spans="1:14">
      <c r="A193" t="s">
        <v>248</v>
      </c>
      <c r="B193" t="s">
        <v>236</v>
      </c>
      <c r="C193">
        <v>2020</v>
      </c>
      <c r="D193" t="s">
        <v>249</v>
      </c>
      <c r="E193" t="s">
        <v>77</v>
      </c>
      <c r="F193" t="s">
        <v>64</v>
      </c>
      <c r="G193">
        <v>0</v>
      </c>
      <c r="H193">
        <v>10</v>
      </c>
      <c r="I193" s="1">
        <f t="shared" si="2"/>
        <v>0</v>
      </c>
      <c r="J193" t="s">
        <v>250</v>
      </c>
      <c r="K193" t="s">
        <v>251</v>
      </c>
      <c r="L193" t="s">
        <v>249</v>
      </c>
      <c r="M193" t="s">
        <v>29</v>
      </c>
      <c r="N193" t="s">
        <v>30</v>
      </c>
    </row>
    <row r="194" spans="1:14">
      <c r="A194">
        <v>20370429</v>
      </c>
      <c r="B194" t="s">
        <v>252</v>
      </c>
      <c r="C194">
        <v>2010</v>
      </c>
      <c r="D194" t="s">
        <v>195</v>
      </c>
      <c r="E194" t="s">
        <v>16</v>
      </c>
      <c r="F194" t="s">
        <v>137</v>
      </c>
      <c r="G194">
        <v>7</v>
      </c>
      <c r="H194">
        <v>7</v>
      </c>
      <c r="I194" s="1">
        <f t="shared" si="2"/>
        <v>1</v>
      </c>
      <c r="J194" t="s">
        <v>85</v>
      </c>
      <c r="K194" t="s">
        <v>86</v>
      </c>
      <c r="L194" t="s">
        <v>195</v>
      </c>
      <c r="M194" t="s">
        <v>20</v>
      </c>
      <c r="N194" t="s">
        <v>21</v>
      </c>
    </row>
    <row r="195" spans="1:14">
      <c r="A195">
        <v>20426688</v>
      </c>
      <c r="B195" t="s">
        <v>253</v>
      </c>
      <c r="C195">
        <v>2010</v>
      </c>
      <c r="D195" t="s">
        <v>230</v>
      </c>
      <c r="E195" t="s">
        <v>167</v>
      </c>
      <c r="F195" t="s">
        <v>64</v>
      </c>
      <c r="G195">
        <v>16</v>
      </c>
      <c r="H195">
        <v>60</v>
      </c>
      <c r="I195" s="1">
        <f t="shared" ref="I195:I258" si="3">G195/H195</f>
        <v>0.266666666666667</v>
      </c>
      <c r="J195" t="s">
        <v>231</v>
      </c>
      <c r="K195" t="s">
        <v>61</v>
      </c>
      <c r="L195" t="s">
        <v>230</v>
      </c>
      <c r="M195" t="s">
        <v>254</v>
      </c>
      <c r="N195" t="s">
        <v>50</v>
      </c>
    </row>
    <row r="196" spans="1:14">
      <c r="A196">
        <v>20491583</v>
      </c>
      <c r="B196" t="s">
        <v>255</v>
      </c>
      <c r="C196">
        <v>2011</v>
      </c>
      <c r="D196" t="s">
        <v>195</v>
      </c>
      <c r="E196" t="s">
        <v>16</v>
      </c>
      <c r="F196" t="s">
        <v>54</v>
      </c>
      <c r="G196">
        <v>0</v>
      </c>
      <c r="H196">
        <v>61</v>
      </c>
      <c r="I196" s="1">
        <f t="shared" si="3"/>
        <v>0</v>
      </c>
      <c r="J196" t="s">
        <v>85</v>
      </c>
      <c r="K196" t="s">
        <v>86</v>
      </c>
      <c r="L196" t="s">
        <v>195</v>
      </c>
      <c r="M196" t="s">
        <v>96</v>
      </c>
      <c r="N196" t="s">
        <v>21</v>
      </c>
    </row>
    <row r="197" spans="1:14">
      <c r="A197">
        <v>20510298</v>
      </c>
      <c r="B197" t="s">
        <v>214</v>
      </c>
      <c r="C197">
        <v>2010</v>
      </c>
      <c r="D197" t="s">
        <v>124</v>
      </c>
      <c r="E197" t="s">
        <v>77</v>
      </c>
      <c r="F197" t="s">
        <v>28</v>
      </c>
      <c r="G197">
        <v>293</v>
      </c>
      <c r="H197">
        <v>1029</v>
      </c>
      <c r="I197" s="1">
        <f t="shared" si="3"/>
        <v>0.284742468415938</v>
      </c>
      <c r="J197" t="s">
        <v>125</v>
      </c>
      <c r="K197" t="s">
        <v>126</v>
      </c>
      <c r="L197" t="s">
        <v>124</v>
      </c>
      <c r="M197" t="s">
        <v>108</v>
      </c>
      <c r="N197" t="s">
        <v>50</v>
      </c>
    </row>
    <row r="198" spans="1:14">
      <c r="A198">
        <v>20546631</v>
      </c>
      <c r="B198" t="s">
        <v>256</v>
      </c>
      <c r="C198">
        <v>2011</v>
      </c>
      <c r="D198" t="s">
        <v>45</v>
      </c>
      <c r="E198" t="s">
        <v>48</v>
      </c>
      <c r="F198" t="s">
        <v>64</v>
      </c>
      <c r="G198">
        <v>5</v>
      </c>
      <c r="H198">
        <v>5</v>
      </c>
      <c r="I198" s="1">
        <f t="shared" si="3"/>
        <v>1</v>
      </c>
      <c r="J198" t="s">
        <v>23</v>
      </c>
      <c r="K198" t="s">
        <v>46</v>
      </c>
      <c r="L198" t="s">
        <v>45</v>
      </c>
      <c r="M198" t="s">
        <v>29</v>
      </c>
      <c r="N198" t="s">
        <v>30</v>
      </c>
    </row>
    <row r="199" spans="1:14">
      <c r="A199">
        <v>20546635</v>
      </c>
      <c r="B199" t="s">
        <v>257</v>
      </c>
      <c r="C199">
        <v>2011</v>
      </c>
      <c r="D199" t="s">
        <v>124</v>
      </c>
      <c r="E199" t="s">
        <v>77</v>
      </c>
      <c r="F199" t="s">
        <v>64</v>
      </c>
      <c r="G199">
        <v>13</v>
      </c>
      <c r="H199">
        <v>159</v>
      </c>
      <c r="I199" s="1">
        <f t="shared" si="3"/>
        <v>0.0817610062893082</v>
      </c>
      <c r="J199" t="s">
        <v>125</v>
      </c>
      <c r="K199" t="s">
        <v>126</v>
      </c>
      <c r="L199" t="s">
        <v>124</v>
      </c>
      <c r="M199" t="s">
        <v>258</v>
      </c>
      <c r="N199" t="s">
        <v>50</v>
      </c>
    </row>
    <row r="200" spans="1:14">
      <c r="A200">
        <v>20570061</v>
      </c>
      <c r="B200" t="s">
        <v>259</v>
      </c>
      <c r="C200">
        <v>2010</v>
      </c>
      <c r="D200" t="s">
        <v>22</v>
      </c>
      <c r="E200" t="s">
        <v>51</v>
      </c>
      <c r="F200" t="s">
        <v>64</v>
      </c>
      <c r="G200">
        <v>0</v>
      </c>
      <c r="H200">
        <v>23</v>
      </c>
      <c r="I200" s="1">
        <f t="shared" si="3"/>
        <v>0</v>
      </c>
      <c r="J200" t="s">
        <v>23</v>
      </c>
      <c r="K200" t="s">
        <v>24</v>
      </c>
      <c r="L200" t="s">
        <v>22</v>
      </c>
      <c r="M200" t="s">
        <v>78</v>
      </c>
      <c r="N200" t="s">
        <v>50</v>
      </c>
    </row>
    <row r="201" spans="1:14">
      <c r="A201">
        <v>20596774</v>
      </c>
      <c r="B201" t="s">
        <v>260</v>
      </c>
      <c r="C201">
        <v>2010</v>
      </c>
      <c r="D201" t="s">
        <v>79</v>
      </c>
      <c r="E201" t="s">
        <v>77</v>
      </c>
      <c r="F201" t="s">
        <v>64</v>
      </c>
      <c r="G201">
        <v>0</v>
      </c>
      <c r="H201">
        <v>10</v>
      </c>
      <c r="I201" s="1">
        <f t="shared" si="3"/>
        <v>0</v>
      </c>
      <c r="J201" t="s">
        <v>80</v>
      </c>
      <c r="K201" t="s">
        <v>81</v>
      </c>
      <c r="L201" t="s">
        <v>79</v>
      </c>
      <c r="M201" t="s">
        <v>29</v>
      </c>
      <c r="N201" t="s">
        <v>30</v>
      </c>
    </row>
    <row r="202" spans="1:14">
      <c r="A202">
        <v>20596774</v>
      </c>
      <c r="B202" t="s">
        <v>260</v>
      </c>
      <c r="C202">
        <v>2010</v>
      </c>
      <c r="D202" t="s">
        <v>176</v>
      </c>
      <c r="E202" t="s">
        <v>77</v>
      </c>
      <c r="F202" t="s">
        <v>64</v>
      </c>
      <c r="G202">
        <v>0</v>
      </c>
      <c r="H202">
        <v>10</v>
      </c>
      <c r="I202" s="1">
        <f t="shared" si="3"/>
        <v>0</v>
      </c>
      <c r="J202" t="s">
        <v>55</v>
      </c>
      <c r="K202" t="s">
        <v>56</v>
      </c>
      <c r="L202" t="s">
        <v>176</v>
      </c>
      <c r="M202" t="s">
        <v>29</v>
      </c>
      <c r="N202" t="s">
        <v>30</v>
      </c>
    </row>
    <row r="203" spans="1:14">
      <c r="A203">
        <v>20596774</v>
      </c>
      <c r="B203" t="s">
        <v>260</v>
      </c>
      <c r="C203">
        <v>2010</v>
      </c>
      <c r="D203" t="s">
        <v>15</v>
      </c>
      <c r="E203" t="s">
        <v>77</v>
      </c>
      <c r="F203" t="s">
        <v>64</v>
      </c>
      <c r="G203">
        <v>0</v>
      </c>
      <c r="H203">
        <v>10</v>
      </c>
      <c r="I203" s="1">
        <f t="shared" si="3"/>
        <v>0</v>
      </c>
      <c r="J203" t="s">
        <v>18</v>
      </c>
      <c r="K203" t="s">
        <v>19</v>
      </c>
      <c r="L203" t="s">
        <v>15</v>
      </c>
      <c r="M203" t="s">
        <v>29</v>
      </c>
      <c r="N203" t="s">
        <v>30</v>
      </c>
    </row>
    <row r="204" spans="1:14">
      <c r="A204">
        <v>20596774</v>
      </c>
      <c r="B204" t="s">
        <v>260</v>
      </c>
      <c r="C204">
        <v>2010</v>
      </c>
      <c r="D204" t="s">
        <v>261</v>
      </c>
      <c r="E204" t="s">
        <v>77</v>
      </c>
      <c r="F204" t="s">
        <v>137</v>
      </c>
      <c r="G204">
        <v>37</v>
      </c>
      <c r="H204">
        <v>40</v>
      </c>
      <c r="I204" s="1">
        <f t="shared" si="3"/>
        <v>0.925</v>
      </c>
      <c r="J204" t="s">
        <v>38</v>
      </c>
      <c r="K204" t="s">
        <v>39</v>
      </c>
      <c r="L204" t="s">
        <v>262</v>
      </c>
      <c r="M204" t="s">
        <v>29</v>
      </c>
      <c r="N204" t="s">
        <v>30</v>
      </c>
    </row>
    <row r="205" spans="1:14">
      <c r="A205">
        <v>20596774</v>
      </c>
      <c r="B205" t="s">
        <v>260</v>
      </c>
      <c r="C205">
        <v>2010</v>
      </c>
      <c r="D205" t="s">
        <v>261</v>
      </c>
      <c r="E205" t="s">
        <v>77</v>
      </c>
      <c r="F205" t="s">
        <v>28</v>
      </c>
      <c r="G205">
        <v>36</v>
      </c>
      <c r="H205">
        <v>40</v>
      </c>
      <c r="I205" s="1">
        <f t="shared" si="3"/>
        <v>0.9</v>
      </c>
      <c r="J205" t="s">
        <v>38</v>
      </c>
      <c r="K205" t="s">
        <v>39</v>
      </c>
      <c r="L205" t="s">
        <v>262</v>
      </c>
      <c r="M205" t="s">
        <v>29</v>
      </c>
      <c r="N205" t="s">
        <v>30</v>
      </c>
    </row>
    <row r="206" spans="1:14">
      <c r="A206">
        <v>20596774</v>
      </c>
      <c r="B206" t="s">
        <v>260</v>
      </c>
      <c r="C206">
        <v>2010</v>
      </c>
      <c r="D206" t="s">
        <v>83</v>
      </c>
      <c r="E206" t="s">
        <v>77</v>
      </c>
      <c r="F206" t="s">
        <v>64</v>
      </c>
      <c r="G206">
        <v>0</v>
      </c>
      <c r="H206">
        <v>10</v>
      </c>
      <c r="I206" s="1">
        <f t="shared" si="3"/>
        <v>0</v>
      </c>
      <c r="J206" t="s">
        <v>55</v>
      </c>
      <c r="K206" t="s">
        <v>56</v>
      </c>
      <c r="L206" t="s">
        <v>83</v>
      </c>
      <c r="M206" t="s">
        <v>29</v>
      </c>
      <c r="N206" t="s">
        <v>30</v>
      </c>
    </row>
    <row r="207" spans="1:14">
      <c r="A207">
        <v>20653980</v>
      </c>
      <c r="B207" t="s">
        <v>220</v>
      </c>
      <c r="C207">
        <v>2010</v>
      </c>
      <c r="D207" t="s">
        <v>263</v>
      </c>
      <c r="E207" t="s">
        <v>77</v>
      </c>
      <c r="F207" t="s">
        <v>64</v>
      </c>
      <c r="G207">
        <v>51</v>
      </c>
      <c r="H207">
        <v>156</v>
      </c>
      <c r="I207" s="1">
        <f t="shared" si="3"/>
        <v>0.326923076923077</v>
      </c>
      <c r="J207" t="s">
        <v>38</v>
      </c>
      <c r="K207" t="s">
        <v>39</v>
      </c>
      <c r="L207" t="s">
        <v>263</v>
      </c>
      <c r="M207" t="s">
        <v>49</v>
      </c>
      <c r="N207" t="s">
        <v>50</v>
      </c>
    </row>
    <row r="208" spans="1:14">
      <c r="A208">
        <v>20688639</v>
      </c>
      <c r="B208" t="s">
        <v>264</v>
      </c>
      <c r="C208">
        <v>2010</v>
      </c>
      <c r="D208" t="s">
        <v>110</v>
      </c>
      <c r="E208" t="s">
        <v>51</v>
      </c>
      <c r="F208" t="s">
        <v>17</v>
      </c>
      <c r="G208">
        <v>31</v>
      </c>
      <c r="H208">
        <v>52</v>
      </c>
      <c r="I208" s="1">
        <f t="shared" si="3"/>
        <v>0.596153846153846</v>
      </c>
      <c r="J208" t="s">
        <v>43</v>
      </c>
      <c r="K208" t="s">
        <v>44</v>
      </c>
      <c r="L208" t="s">
        <v>110</v>
      </c>
      <c r="M208" t="s">
        <v>265</v>
      </c>
      <c r="N208" t="s">
        <v>50</v>
      </c>
    </row>
    <row r="209" spans="1:14">
      <c r="A209">
        <v>20688639</v>
      </c>
      <c r="B209" t="s">
        <v>264</v>
      </c>
      <c r="C209">
        <v>2010</v>
      </c>
      <c r="D209" t="s">
        <v>22</v>
      </c>
      <c r="E209" t="s">
        <v>51</v>
      </c>
      <c r="F209" t="s">
        <v>17</v>
      </c>
      <c r="G209">
        <v>7</v>
      </c>
      <c r="H209">
        <v>57</v>
      </c>
      <c r="I209" s="1">
        <f t="shared" si="3"/>
        <v>0.12280701754386</v>
      </c>
      <c r="J209" t="s">
        <v>23</v>
      </c>
      <c r="K209" t="s">
        <v>24</v>
      </c>
      <c r="L209" t="s">
        <v>22</v>
      </c>
      <c r="M209" t="s">
        <v>265</v>
      </c>
      <c r="N209" t="s">
        <v>50</v>
      </c>
    </row>
    <row r="210" spans="1:14">
      <c r="A210">
        <v>20924575</v>
      </c>
      <c r="B210" t="s">
        <v>266</v>
      </c>
      <c r="C210">
        <v>2011</v>
      </c>
      <c r="D210" t="s">
        <v>45</v>
      </c>
      <c r="E210" t="s">
        <v>16</v>
      </c>
      <c r="F210" t="s">
        <v>64</v>
      </c>
      <c r="G210">
        <v>113</v>
      </c>
      <c r="H210">
        <v>256</v>
      </c>
      <c r="I210" s="1">
        <f t="shared" si="3"/>
        <v>0.44140625</v>
      </c>
      <c r="J210" t="s">
        <v>23</v>
      </c>
      <c r="K210" t="s">
        <v>46</v>
      </c>
      <c r="L210" t="s">
        <v>45</v>
      </c>
      <c r="M210" t="s">
        <v>172</v>
      </c>
      <c r="N210" t="s">
        <v>21</v>
      </c>
    </row>
    <row r="211" spans="1:14">
      <c r="A211">
        <v>21087917</v>
      </c>
      <c r="B211" t="s">
        <v>267</v>
      </c>
      <c r="C211">
        <v>2010</v>
      </c>
      <c r="D211" t="s">
        <v>82</v>
      </c>
      <c r="E211" t="s">
        <v>77</v>
      </c>
      <c r="F211" t="s">
        <v>64</v>
      </c>
      <c r="G211">
        <v>63</v>
      </c>
      <c r="H211">
        <v>469</v>
      </c>
      <c r="I211" s="1">
        <f t="shared" si="3"/>
        <v>0.134328358208955</v>
      </c>
      <c r="J211" t="s">
        <v>38</v>
      </c>
      <c r="K211" t="s">
        <v>39</v>
      </c>
      <c r="L211" t="s">
        <v>82</v>
      </c>
      <c r="M211" t="s">
        <v>268</v>
      </c>
      <c r="N211" t="s">
        <v>50</v>
      </c>
    </row>
    <row r="212" spans="1:14">
      <c r="A212">
        <v>21228128</v>
      </c>
      <c r="B212" t="s">
        <v>269</v>
      </c>
      <c r="C212">
        <v>2011</v>
      </c>
      <c r="D212" t="s">
        <v>124</v>
      </c>
      <c r="E212" t="s">
        <v>77</v>
      </c>
      <c r="F212" t="s">
        <v>64</v>
      </c>
      <c r="G212">
        <v>16</v>
      </c>
      <c r="H212">
        <v>450</v>
      </c>
      <c r="I212" s="1">
        <f t="shared" si="3"/>
        <v>0.0355555555555556</v>
      </c>
      <c r="J212" t="s">
        <v>125</v>
      </c>
      <c r="K212" t="s">
        <v>126</v>
      </c>
      <c r="L212" t="s">
        <v>124</v>
      </c>
      <c r="M212" t="s">
        <v>68</v>
      </c>
      <c r="N212" t="s">
        <v>30</v>
      </c>
    </row>
    <row r="213" spans="1:14">
      <c r="A213">
        <v>21262634</v>
      </c>
      <c r="B213" t="s">
        <v>270</v>
      </c>
      <c r="C213">
        <v>2010</v>
      </c>
      <c r="D213" t="s">
        <v>22</v>
      </c>
      <c r="E213" t="s">
        <v>48</v>
      </c>
      <c r="F213" t="s">
        <v>64</v>
      </c>
      <c r="G213">
        <v>12</v>
      </c>
      <c r="H213">
        <v>23</v>
      </c>
      <c r="I213" s="1">
        <f t="shared" si="3"/>
        <v>0.521739130434783</v>
      </c>
      <c r="J213" t="s">
        <v>23</v>
      </c>
      <c r="K213" t="s">
        <v>24</v>
      </c>
      <c r="L213" t="s">
        <v>22</v>
      </c>
      <c r="M213" t="s">
        <v>151</v>
      </c>
      <c r="N213" t="s">
        <v>30</v>
      </c>
    </row>
    <row r="214" spans="1:14">
      <c r="A214">
        <v>21270014</v>
      </c>
      <c r="B214" t="s">
        <v>271</v>
      </c>
      <c r="C214">
        <v>2011</v>
      </c>
      <c r="D214" t="s">
        <v>45</v>
      </c>
      <c r="E214" t="s">
        <v>16</v>
      </c>
      <c r="F214" t="s">
        <v>41</v>
      </c>
      <c r="G214">
        <v>660</v>
      </c>
      <c r="H214">
        <v>2269</v>
      </c>
      <c r="I214" s="1">
        <f t="shared" si="3"/>
        <v>0.290877038342882</v>
      </c>
      <c r="J214" t="s">
        <v>23</v>
      </c>
      <c r="K214" t="s">
        <v>46</v>
      </c>
      <c r="L214" t="s">
        <v>45</v>
      </c>
      <c r="M214" t="s">
        <v>20</v>
      </c>
      <c r="N214" t="s">
        <v>21</v>
      </c>
    </row>
    <row r="215" spans="1:14">
      <c r="A215">
        <v>21320372</v>
      </c>
      <c r="B215" t="s">
        <v>272</v>
      </c>
      <c r="C215">
        <v>2012</v>
      </c>
      <c r="D215" t="s">
        <v>15</v>
      </c>
      <c r="E215" t="s">
        <v>77</v>
      </c>
      <c r="F215" t="s">
        <v>28</v>
      </c>
      <c r="G215">
        <v>6795</v>
      </c>
      <c r="H215">
        <v>102387</v>
      </c>
      <c r="I215" s="1">
        <f t="shared" si="3"/>
        <v>0.0663658472266987</v>
      </c>
      <c r="J215" t="s">
        <v>18</v>
      </c>
      <c r="K215" t="s">
        <v>19</v>
      </c>
      <c r="L215" t="s">
        <v>15</v>
      </c>
      <c r="M215" t="s">
        <v>49</v>
      </c>
      <c r="N215" t="s">
        <v>50</v>
      </c>
    </row>
    <row r="216" spans="1:14">
      <c r="A216">
        <v>21453946</v>
      </c>
      <c r="B216" t="s">
        <v>273</v>
      </c>
      <c r="C216">
        <v>2011</v>
      </c>
      <c r="D216" t="s">
        <v>93</v>
      </c>
      <c r="E216" t="s">
        <v>77</v>
      </c>
      <c r="F216" t="s">
        <v>64</v>
      </c>
      <c r="G216">
        <v>93</v>
      </c>
      <c r="H216">
        <v>212</v>
      </c>
      <c r="I216" s="1">
        <f t="shared" si="3"/>
        <v>0.438679245283019</v>
      </c>
      <c r="J216" t="s">
        <v>94</v>
      </c>
      <c r="K216" t="s">
        <v>95</v>
      </c>
      <c r="L216" t="s">
        <v>93</v>
      </c>
      <c r="M216" t="s">
        <v>268</v>
      </c>
      <c r="N216" t="s">
        <v>50</v>
      </c>
    </row>
    <row r="217" spans="1:14">
      <c r="A217">
        <v>21470469</v>
      </c>
      <c r="B217" t="s">
        <v>274</v>
      </c>
      <c r="C217">
        <v>2011</v>
      </c>
      <c r="D217" t="s">
        <v>195</v>
      </c>
      <c r="E217" t="s">
        <v>16</v>
      </c>
      <c r="F217" t="s">
        <v>17</v>
      </c>
      <c r="G217">
        <v>10</v>
      </c>
      <c r="H217">
        <v>1088</v>
      </c>
      <c r="I217" s="1">
        <f t="shared" si="3"/>
        <v>0.00919117647058824</v>
      </c>
      <c r="J217" t="s">
        <v>85</v>
      </c>
      <c r="K217" t="s">
        <v>86</v>
      </c>
      <c r="L217" t="s">
        <v>195</v>
      </c>
      <c r="M217" t="s">
        <v>68</v>
      </c>
      <c r="N217" t="s">
        <v>30</v>
      </c>
    </row>
    <row r="218" spans="1:14">
      <c r="A218">
        <v>21475985</v>
      </c>
      <c r="B218" t="s">
        <v>275</v>
      </c>
      <c r="C218">
        <v>2011</v>
      </c>
      <c r="D218" t="s">
        <v>124</v>
      </c>
      <c r="E218" t="s">
        <v>77</v>
      </c>
      <c r="F218" t="s">
        <v>64</v>
      </c>
      <c r="G218">
        <v>19</v>
      </c>
      <c r="H218">
        <v>578</v>
      </c>
      <c r="I218" s="1">
        <f t="shared" si="3"/>
        <v>0.0328719723183391</v>
      </c>
      <c r="J218" t="s">
        <v>125</v>
      </c>
      <c r="K218" t="s">
        <v>126</v>
      </c>
      <c r="L218" t="s">
        <v>124</v>
      </c>
      <c r="M218" t="s">
        <v>68</v>
      </c>
      <c r="N218" t="s">
        <v>30</v>
      </c>
    </row>
    <row r="219" spans="1:14">
      <c r="A219">
        <v>21514325</v>
      </c>
      <c r="B219" t="s">
        <v>276</v>
      </c>
      <c r="C219">
        <v>2011</v>
      </c>
      <c r="D219" t="s">
        <v>45</v>
      </c>
      <c r="E219" t="s">
        <v>16</v>
      </c>
      <c r="F219" t="s">
        <v>64</v>
      </c>
      <c r="G219">
        <v>5</v>
      </c>
      <c r="H219">
        <v>608</v>
      </c>
      <c r="I219" s="1">
        <f t="shared" si="3"/>
        <v>0.00822368421052632</v>
      </c>
      <c r="J219" t="s">
        <v>23</v>
      </c>
      <c r="K219" t="s">
        <v>46</v>
      </c>
      <c r="L219" t="s">
        <v>45</v>
      </c>
      <c r="M219" t="s">
        <v>96</v>
      </c>
      <c r="N219" t="s">
        <v>21</v>
      </c>
    </row>
    <row r="220" spans="1:14">
      <c r="A220">
        <v>21514325</v>
      </c>
      <c r="B220" t="s">
        <v>276</v>
      </c>
      <c r="C220">
        <v>2011</v>
      </c>
      <c r="D220" t="s">
        <v>45</v>
      </c>
      <c r="E220" t="s">
        <v>51</v>
      </c>
      <c r="F220" t="s">
        <v>64</v>
      </c>
      <c r="G220">
        <v>0</v>
      </c>
      <c r="H220">
        <v>2</v>
      </c>
      <c r="I220" s="1">
        <f t="shared" si="3"/>
        <v>0</v>
      </c>
      <c r="J220" t="s">
        <v>23</v>
      </c>
      <c r="K220" t="s">
        <v>46</v>
      </c>
      <c r="L220" t="s">
        <v>45</v>
      </c>
      <c r="M220" t="s">
        <v>96</v>
      </c>
      <c r="N220" t="s">
        <v>21</v>
      </c>
    </row>
    <row r="221" spans="1:14">
      <c r="A221">
        <v>2160022</v>
      </c>
      <c r="B221" t="s">
        <v>40</v>
      </c>
      <c r="C221">
        <v>1990</v>
      </c>
      <c r="D221" t="s">
        <v>45</v>
      </c>
      <c r="E221" t="s">
        <v>16</v>
      </c>
      <c r="F221" t="s">
        <v>41</v>
      </c>
      <c r="G221">
        <v>0</v>
      </c>
      <c r="H221">
        <v>1</v>
      </c>
      <c r="I221" s="1">
        <f t="shared" si="3"/>
        <v>0</v>
      </c>
      <c r="J221" t="s">
        <v>23</v>
      </c>
      <c r="K221" t="s">
        <v>46</v>
      </c>
      <c r="L221" t="s">
        <v>45</v>
      </c>
      <c r="M221" t="s">
        <v>20</v>
      </c>
      <c r="N221" t="s">
        <v>21</v>
      </c>
    </row>
    <row r="222" spans="1:14">
      <c r="A222">
        <v>2160022</v>
      </c>
      <c r="B222" t="s">
        <v>40</v>
      </c>
      <c r="C222">
        <v>1990</v>
      </c>
      <c r="D222" t="s">
        <v>277</v>
      </c>
      <c r="E222" t="s">
        <v>16</v>
      </c>
      <c r="F222" t="s">
        <v>41</v>
      </c>
      <c r="G222">
        <v>1</v>
      </c>
      <c r="H222">
        <v>1</v>
      </c>
      <c r="I222" s="1">
        <f t="shared" si="3"/>
        <v>1</v>
      </c>
      <c r="J222" t="s">
        <v>278</v>
      </c>
      <c r="K222" t="s">
        <v>279</v>
      </c>
      <c r="L222" t="s">
        <v>277</v>
      </c>
      <c r="M222" t="s">
        <v>20</v>
      </c>
      <c r="N222" t="s">
        <v>21</v>
      </c>
    </row>
    <row r="223" spans="1:14">
      <c r="A223">
        <v>21610003</v>
      </c>
      <c r="B223" t="s">
        <v>280</v>
      </c>
      <c r="C223">
        <v>2011</v>
      </c>
      <c r="D223" t="s">
        <v>84</v>
      </c>
      <c r="E223" t="s">
        <v>77</v>
      </c>
      <c r="F223" t="s">
        <v>137</v>
      </c>
      <c r="G223">
        <v>21</v>
      </c>
      <c r="H223">
        <v>50</v>
      </c>
      <c r="I223" s="1">
        <f t="shared" si="3"/>
        <v>0.42</v>
      </c>
      <c r="J223" t="s">
        <v>85</v>
      </c>
      <c r="K223" t="s">
        <v>86</v>
      </c>
      <c r="L223" t="s">
        <v>84</v>
      </c>
      <c r="M223" t="s">
        <v>20</v>
      </c>
      <c r="N223" t="s">
        <v>21</v>
      </c>
    </row>
    <row r="224" spans="1:14">
      <c r="A224">
        <v>21610003</v>
      </c>
      <c r="B224" t="s">
        <v>280</v>
      </c>
      <c r="C224">
        <v>2011</v>
      </c>
      <c r="D224" t="s">
        <v>79</v>
      </c>
      <c r="E224" t="s">
        <v>77</v>
      </c>
      <c r="F224" t="s">
        <v>28</v>
      </c>
      <c r="G224">
        <v>1</v>
      </c>
      <c r="H224">
        <v>50</v>
      </c>
      <c r="I224" s="1">
        <f t="shared" si="3"/>
        <v>0.02</v>
      </c>
      <c r="J224" t="s">
        <v>80</v>
      </c>
      <c r="K224" t="s">
        <v>81</v>
      </c>
      <c r="L224" t="s">
        <v>79</v>
      </c>
      <c r="M224" t="s">
        <v>20</v>
      </c>
      <c r="N224" t="s">
        <v>21</v>
      </c>
    </row>
    <row r="225" spans="1:14">
      <c r="A225">
        <v>21610003</v>
      </c>
      <c r="B225" t="s">
        <v>280</v>
      </c>
      <c r="C225">
        <v>2011</v>
      </c>
      <c r="D225" t="s">
        <v>93</v>
      </c>
      <c r="E225" t="s">
        <v>77</v>
      </c>
      <c r="F225" t="s">
        <v>28</v>
      </c>
      <c r="G225">
        <v>21</v>
      </c>
      <c r="H225">
        <v>50</v>
      </c>
      <c r="I225" s="1">
        <f t="shared" si="3"/>
        <v>0.42</v>
      </c>
      <c r="J225" t="s">
        <v>94</v>
      </c>
      <c r="K225" t="s">
        <v>95</v>
      </c>
      <c r="L225" t="s">
        <v>93</v>
      </c>
      <c r="M225" t="s">
        <v>20</v>
      </c>
      <c r="N225" t="s">
        <v>21</v>
      </c>
    </row>
    <row r="226" spans="1:14">
      <c r="A226">
        <v>21643767</v>
      </c>
      <c r="B226" t="s">
        <v>281</v>
      </c>
      <c r="C226">
        <v>2011</v>
      </c>
      <c r="D226" t="s">
        <v>277</v>
      </c>
      <c r="E226" t="s">
        <v>77</v>
      </c>
      <c r="F226" t="s">
        <v>64</v>
      </c>
      <c r="G226">
        <v>1</v>
      </c>
      <c r="H226">
        <v>48</v>
      </c>
      <c r="I226" s="1">
        <f t="shared" si="3"/>
        <v>0.0208333333333333</v>
      </c>
      <c r="J226" t="s">
        <v>278</v>
      </c>
      <c r="K226" t="s">
        <v>279</v>
      </c>
      <c r="L226" t="s">
        <v>277</v>
      </c>
      <c r="M226" t="s">
        <v>68</v>
      </c>
      <c r="N226" t="s">
        <v>30</v>
      </c>
    </row>
    <row r="227" spans="1:14">
      <c r="A227">
        <v>2167395</v>
      </c>
      <c r="B227" t="s">
        <v>282</v>
      </c>
      <c r="C227">
        <v>1990</v>
      </c>
      <c r="D227" t="s">
        <v>112</v>
      </c>
      <c r="E227" t="s">
        <v>77</v>
      </c>
      <c r="F227" t="s">
        <v>17</v>
      </c>
      <c r="G227">
        <v>0</v>
      </c>
      <c r="H227">
        <v>184</v>
      </c>
      <c r="I227" s="1">
        <f t="shared" si="3"/>
        <v>0</v>
      </c>
      <c r="J227" t="s">
        <v>80</v>
      </c>
      <c r="K227" t="s">
        <v>113</v>
      </c>
      <c r="L227" t="s">
        <v>112</v>
      </c>
      <c r="M227" t="s">
        <v>20</v>
      </c>
      <c r="N227" t="s">
        <v>21</v>
      </c>
    </row>
    <row r="228" spans="1:14">
      <c r="A228">
        <v>21749773</v>
      </c>
      <c r="B228" t="s">
        <v>283</v>
      </c>
      <c r="C228">
        <v>2011</v>
      </c>
      <c r="D228" t="s">
        <v>79</v>
      </c>
      <c r="E228" t="s">
        <v>77</v>
      </c>
      <c r="F228" t="s">
        <v>28</v>
      </c>
      <c r="G228">
        <v>167</v>
      </c>
      <c r="H228">
        <v>613</v>
      </c>
      <c r="I228" s="1">
        <f t="shared" si="3"/>
        <v>0.272430668841762</v>
      </c>
      <c r="J228" t="s">
        <v>80</v>
      </c>
      <c r="K228" t="s">
        <v>81</v>
      </c>
      <c r="L228" t="s">
        <v>79</v>
      </c>
      <c r="M228" t="s">
        <v>29</v>
      </c>
      <c r="N228" t="s">
        <v>30</v>
      </c>
    </row>
    <row r="229" spans="1:14">
      <c r="A229">
        <v>21757858</v>
      </c>
      <c r="B229" t="s">
        <v>284</v>
      </c>
      <c r="C229">
        <v>2011</v>
      </c>
      <c r="D229" t="s">
        <v>15</v>
      </c>
      <c r="E229" t="s">
        <v>77</v>
      </c>
      <c r="F229" t="s">
        <v>17</v>
      </c>
      <c r="G229">
        <v>6</v>
      </c>
      <c r="H229">
        <v>173</v>
      </c>
      <c r="I229" s="1">
        <f t="shared" si="3"/>
        <v>0.0346820809248555</v>
      </c>
      <c r="J229" t="s">
        <v>18</v>
      </c>
      <c r="K229" t="s">
        <v>19</v>
      </c>
      <c r="L229" t="s">
        <v>15</v>
      </c>
      <c r="M229" t="s">
        <v>68</v>
      </c>
      <c r="N229" t="s">
        <v>30</v>
      </c>
    </row>
    <row r="230" spans="1:14">
      <c r="A230">
        <v>21822671</v>
      </c>
      <c r="B230" t="s">
        <v>267</v>
      </c>
      <c r="C230">
        <v>2011</v>
      </c>
      <c r="D230" t="s">
        <v>285</v>
      </c>
      <c r="E230" t="s">
        <v>77</v>
      </c>
      <c r="F230" t="s">
        <v>64</v>
      </c>
      <c r="G230">
        <v>109</v>
      </c>
      <c r="H230">
        <v>842</v>
      </c>
      <c r="I230" s="1">
        <f t="shared" si="3"/>
        <v>0.129453681710214</v>
      </c>
      <c r="J230" t="s">
        <v>38</v>
      </c>
      <c r="K230" t="s">
        <v>39</v>
      </c>
      <c r="L230" t="s">
        <v>285</v>
      </c>
      <c r="M230" t="s">
        <v>268</v>
      </c>
      <c r="N230" t="s">
        <v>50</v>
      </c>
    </row>
    <row r="231" spans="1:14">
      <c r="A231">
        <v>21840141</v>
      </c>
      <c r="B231" t="s">
        <v>286</v>
      </c>
      <c r="C231">
        <v>2012</v>
      </c>
      <c r="D231" t="s">
        <v>22</v>
      </c>
      <c r="E231" t="s">
        <v>48</v>
      </c>
      <c r="F231" t="s">
        <v>64</v>
      </c>
      <c r="G231">
        <v>11</v>
      </c>
      <c r="H231">
        <v>26</v>
      </c>
      <c r="I231" s="1">
        <f t="shared" si="3"/>
        <v>0.423076923076923</v>
      </c>
      <c r="J231" t="s">
        <v>23</v>
      </c>
      <c r="K231" t="s">
        <v>24</v>
      </c>
      <c r="L231" t="s">
        <v>22</v>
      </c>
      <c r="M231" t="s">
        <v>68</v>
      </c>
      <c r="N231" t="s">
        <v>30</v>
      </c>
    </row>
    <row r="232" spans="1:14">
      <c r="A232">
        <v>21840141</v>
      </c>
      <c r="B232" t="s">
        <v>286</v>
      </c>
      <c r="C232">
        <v>2012</v>
      </c>
      <c r="D232" t="s">
        <v>22</v>
      </c>
      <c r="E232" t="s">
        <v>16</v>
      </c>
      <c r="F232" t="s">
        <v>64</v>
      </c>
      <c r="G232">
        <v>54</v>
      </c>
      <c r="H232">
        <v>104</v>
      </c>
      <c r="I232" s="1">
        <f t="shared" si="3"/>
        <v>0.519230769230769</v>
      </c>
      <c r="J232" t="s">
        <v>23</v>
      </c>
      <c r="K232" t="s">
        <v>24</v>
      </c>
      <c r="L232" t="s">
        <v>22</v>
      </c>
      <c r="M232" t="s">
        <v>68</v>
      </c>
      <c r="N232" t="s">
        <v>30</v>
      </c>
    </row>
    <row r="233" spans="1:14">
      <c r="A233">
        <v>21840141</v>
      </c>
      <c r="B233" t="s">
        <v>286</v>
      </c>
      <c r="C233">
        <v>2012</v>
      </c>
      <c r="D233" t="s">
        <v>22</v>
      </c>
      <c r="E233" t="s">
        <v>51</v>
      </c>
      <c r="F233" t="s">
        <v>64</v>
      </c>
      <c r="G233">
        <v>0</v>
      </c>
      <c r="H233">
        <v>1</v>
      </c>
      <c r="I233" s="1">
        <f t="shared" si="3"/>
        <v>0</v>
      </c>
      <c r="J233" t="s">
        <v>23</v>
      </c>
      <c r="K233" t="s">
        <v>24</v>
      </c>
      <c r="L233" t="s">
        <v>22</v>
      </c>
      <c r="M233" t="s">
        <v>68</v>
      </c>
      <c r="N233" t="s">
        <v>30</v>
      </c>
    </row>
    <row r="234" spans="1:14">
      <c r="A234">
        <v>21840141</v>
      </c>
      <c r="B234" t="s">
        <v>286</v>
      </c>
      <c r="C234">
        <v>2012</v>
      </c>
      <c r="D234" t="s">
        <v>22</v>
      </c>
      <c r="E234" t="s">
        <v>77</v>
      </c>
      <c r="F234" t="s">
        <v>64</v>
      </c>
      <c r="G234">
        <v>11</v>
      </c>
      <c r="H234">
        <v>41</v>
      </c>
      <c r="I234" s="1">
        <f t="shared" si="3"/>
        <v>0.268292682926829</v>
      </c>
      <c r="J234" t="s">
        <v>23</v>
      </c>
      <c r="K234" t="s">
        <v>24</v>
      </c>
      <c r="L234" t="s">
        <v>22</v>
      </c>
      <c r="M234" t="s">
        <v>68</v>
      </c>
      <c r="N234" t="s">
        <v>30</v>
      </c>
    </row>
    <row r="235" spans="1:14">
      <c r="A235">
        <v>22024346</v>
      </c>
      <c r="B235" t="s">
        <v>287</v>
      </c>
      <c r="C235">
        <v>2012</v>
      </c>
      <c r="D235" t="s">
        <v>22</v>
      </c>
      <c r="E235" t="s">
        <v>51</v>
      </c>
      <c r="F235" t="s">
        <v>64</v>
      </c>
      <c r="G235">
        <v>3</v>
      </c>
      <c r="H235">
        <v>3</v>
      </c>
      <c r="I235" s="1">
        <f t="shared" si="3"/>
        <v>1</v>
      </c>
      <c r="J235" t="s">
        <v>23</v>
      </c>
      <c r="K235" t="s">
        <v>24</v>
      </c>
      <c r="L235" t="s">
        <v>22</v>
      </c>
      <c r="M235" t="s">
        <v>49</v>
      </c>
      <c r="N235" t="s">
        <v>50</v>
      </c>
    </row>
    <row r="236" spans="1:14">
      <c r="A236">
        <v>22024346</v>
      </c>
      <c r="B236" t="s">
        <v>287</v>
      </c>
      <c r="C236">
        <v>2012</v>
      </c>
      <c r="D236" t="s">
        <v>22</v>
      </c>
      <c r="E236" t="s">
        <v>16</v>
      </c>
      <c r="F236" t="s">
        <v>64</v>
      </c>
      <c r="G236">
        <v>5</v>
      </c>
      <c r="H236">
        <v>5</v>
      </c>
      <c r="I236" s="1">
        <f t="shared" si="3"/>
        <v>1</v>
      </c>
      <c r="J236" t="s">
        <v>23</v>
      </c>
      <c r="K236" t="s">
        <v>24</v>
      </c>
      <c r="L236" t="s">
        <v>22</v>
      </c>
      <c r="M236" t="s">
        <v>49</v>
      </c>
      <c r="N236" t="s">
        <v>50</v>
      </c>
    </row>
    <row r="237" spans="1:14">
      <c r="A237">
        <v>22087883</v>
      </c>
      <c r="B237" t="s">
        <v>288</v>
      </c>
      <c r="C237">
        <v>2011</v>
      </c>
      <c r="D237" t="s">
        <v>15</v>
      </c>
      <c r="E237" t="s">
        <v>77</v>
      </c>
      <c r="F237" t="s">
        <v>28</v>
      </c>
      <c r="G237">
        <v>10</v>
      </c>
      <c r="H237">
        <v>20</v>
      </c>
      <c r="I237" s="1">
        <f t="shared" si="3"/>
        <v>0.5</v>
      </c>
      <c r="J237" t="s">
        <v>18</v>
      </c>
      <c r="K237" t="s">
        <v>19</v>
      </c>
      <c r="L237" t="s">
        <v>15</v>
      </c>
      <c r="M237" t="s">
        <v>172</v>
      </c>
      <c r="N237" t="s">
        <v>50</v>
      </c>
    </row>
    <row r="238" spans="1:14">
      <c r="A238">
        <v>22102657</v>
      </c>
      <c r="B238" t="s">
        <v>289</v>
      </c>
      <c r="C238">
        <v>2011</v>
      </c>
      <c r="D238" t="s">
        <v>79</v>
      </c>
      <c r="E238" t="s">
        <v>77</v>
      </c>
      <c r="F238" t="s">
        <v>41</v>
      </c>
      <c r="G238">
        <v>1</v>
      </c>
      <c r="H238">
        <v>223</v>
      </c>
      <c r="I238" s="1">
        <f t="shared" si="3"/>
        <v>0.00448430493273543</v>
      </c>
      <c r="J238" t="s">
        <v>80</v>
      </c>
      <c r="K238" t="s">
        <v>81</v>
      </c>
      <c r="L238" t="s">
        <v>79</v>
      </c>
      <c r="M238" t="s">
        <v>290</v>
      </c>
      <c r="N238" t="s">
        <v>50</v>
      </c>
    </row>
    <row r="239" spans="1:14">
      <c r="A239">
        <v>22102680</v>
      </c>
      <c r="B239" t="s">
        <v>291</v>
      </c>
      <c r="C239">
        <v>2011</v>
      </c>
      <c r="D239" t="s">
        <v>115</v>
      </c>
      <c r="E239" t="s">
        <v>27</v>
      </c>
      <c r="F239" t="s">
        <v>64</v>
      </c>
      <c r="G239">
        <v>1</v>
      </c>
      <c r="H239">
        <v>1</v>
      </c>
      <c r="I239" s="1">
        <f t="shared" si="3"/>
        <v>1</v>
      </c>
      <c r="J239" t="s">
        <v>38</v>
      </c>
      <c r="K239" t="s">
        <v>39</v>
      </c>
      <c r="L239" t="s">
        <v>115</v>
      </c>
      <c r="M239" t="s">
        <v>29</v>
      </c>
      <c r="N239" t="s">
        <v>30</v>
      </c>
    </row>
    <row r="240" spans="1:14">
      <c r="A240">
        <v>22102680</v>
      </c>
      <c r="B240" t="s">
        <v>291</v>
      </c>
      <c r="C240">
        <v>2011</v>
      </c>
      <c r="D240" t="s">
        <v>115</v>
      </c>
      <c r="E240" t="s">
        <v>48</v>
      </c>
      <c r="F240" t="s">
        <v>64</v>
      </c>
      <c r="G240">
        <v>1</v>
      </c>
      <c r="H240">
        <v>1</v>
      </c>
      <c r="I240" s="1">
        <f t="shared" si="3"/>
        <v>1</v>
      </c>
      <c r="J240" t="s">
        <v>38</v>
      </c>
      <c r="K240" t="s">
        <v>39</v>
      </c>
      <c r="L240" t="s">
        <v>115</v>
      </c>
      <c r="M240" t="s">
        <v>29</v>
      </c>
      <c r="N240" t="s">
        <v>30</v>
      </c>
    </row>
    <row r="241" spans="1:14">
      <c r="A241">
        <v>22168900</v>
      </c>
      <c r="B241" t="s">
        <v>288</v>
      </c>
      <c r="C241">
        <v>2012</v>
      </c>
      <c r="D241" t="s">
        <v>79</v>
      </c>
      <c r="E241" t="s">
        <v>77</v>
      </c>
      <c r="F241" t="s">
        <v>28</v>
      </c>
      <c r="G241">
        <v>9</v>
      </c>
      <c r="H241">
        <v>407</v>
      </c>
      <c r="I241" s="1">
        <f t="shared" si="3"/>
        <v>0.0221130221130221</v>
      </c>
      <c r="J241" t="s">
        <v>80</v>
      </c>
      <c r="K241" t="s">
        <v>81</v>
      </c>
      <c r="L241" t="s">
        <v>79</v>
      </c>
      <c r="M241" t="s">
        <v>172</v>
      </c>
      <c r="N241" t="s">
        <v>50</v>
      </c>
    </row>
    <row r="242" spans="1:14">
      <c r="A242">
        <v>22168900</v>
      </c>
      <c r="B242" t="s">
        <v>288</v>
      </c>
      <c r="C242">
        <v>2012</v>
      </c>
      <c r="D242" t="s">
        <v>124</v>
      </c>
      <c r="E242" t="s">
        <v>77</v>
      </c>
      <c r="F242" t="s">
        <v>28</v>
      </c>
      <c r="G242">
        <v>248</v>
      </c>
      <c r="H242">
        <v>942</v>
      </c>
      <c r="I242" s="1">
        <f t="shared" si="3"/>
        <v>0.263269639065817</v>
      </c>
      <c r="J242" t="s">
        <v>125</v>
      </c>
      <c r="K242" t="s">
        <v>126</v>
      </c>
      <c r="L242" t="s">
        <v>124</v>
      </c>
      <c r="M242" t="s">
        <v>172</v>
      </c>
      <c r="N242" t="s">
        <v>50</v>
      </c>
    </row>
    <row r="243" spans="1:14">
      <c r="A243">
        <v>22168900</v>
      </c>
      <c r="B243" t="s">
        <v>288</v>
      </c>
      <c r="C243">
        <v>2012</v>
      </c>
      <c r="D243" t="s">
        <v>93</v>
      </c>
      <c r="E243" t="s">
        <v>77</v>
      </c>
      <c r="F243" t="s">
        <v>28</v>
      </c>
      <c r="G243">
        <v>390</v>
      </c>
      <c r="H243">
        <v>818</v>
      </c>
      <c r="I243" s="1">
        <f t="shared" si="3"/>
        <v>0.476772616136919</v>
      </c>
      <c r="J243" t="s">
        <v>94</v>
      </c>
      <c r="K243" t="s">
        <v>95</v>
      </c>
      <c r="L243" t="s">
        <v>93</v>
      </c>
      <c r="M243" t="s">
        <v>172</v>
      </c>
      <c r="N243" t="s">
        <v>50</v>
      </c>
    </row>
    <row r="244" spans="1:14">
      <c r="A244">
        <v>22197763</v>
      </c>
      <c r="B244" t="s">
        <v>292</v>
      </c>
      <c r="C244">
        <v>2012</v>
      </c>
      <c r="D244" t="s">
        <v>195</v>
      </c>
      <c r="E244" t="s">
        <v>77</v>
      </c>
      <c r="F244" t="s">
        <v>64</v>
      </c>
      <c r="G244">
        <v>0</v>
      </c>
      <c r="H244">
        <v>281</v>
      </c>
      <c r="I244" s="1">
        <f t="shared" si="3"/>
        <v>0</v>
      </c>
      <c r="J244" t="s">
        <v>85</v>
      </c>
      <c r="K244" t="s">
        <v>86</v>
      </c>
      <c r="L244" t="s">
        <v>195</v>
      </c>
      <c r="M244" t="s">
        <v>70</v>
      </c>
      <c r="N244" t="s">
        <v>50</v>
      </c>
    </row>
    <row r="245" spans="1:14">
      <c r="A245">
        <v>22207081</v>
      </c>
      <c r="B245" t="s">
        <v>293</v>
      </c>
      <c r="C245">
        <v>2012</v>
      </c>
      <c r="D245" t="s">
        <v>124</v>
      </c>
      <c r="E245" t="s">
        <v>77</v>
      </c>
      <c r="F245" t="s">
        <v>64</v>
      </c>
      <c r="G245">
        <v>4</v>
      </c>
      <c r="H245">
        <v>48</v>
      </c>
      <c r="I245" s="1">
        <f t="shared" si="3"/>
        <v>0.0833333333333333</v>
      </c>
      <c r="J245" t="s">
        <v>125</v>
      </c>
      <c r="K245" t="s">
        <v>126</v>
      </c>
      <c r="L245" t="s">
        <v>124</v>
      </c>
      <c r="M245" t="s">
        <v>199</v>
      </c>
      <c r="N245" t="s">
        <v>50</v>
      </c>
    </row>
    <row r="246" spans="1:14">
      <c r="A246">
        <v>22214864</v>
      </c>
      <c r="B246" t="s">
        <v>294</v>
      </c>
      <c r="C246">
        <v>2012</v>
      </c>
      <c r="D246" t="s">
        <v>22</v>
      </c>
      <c r="E246" t="s">
        <v>48</v>
      </c>
      <c r="F246" t="s">
        <v>64</v>
      </c>
      <c r="G246">
        <v>4</v>
      </c>
      <c r="H246">
        <v>4</v>
      </c>
      <c r="I246" s="1">
        <f t="shared" si="3"/>
        <v>1</v>
      </c>
      <c r="J246" t="s">
        <v>23</v>
      </c>
      <c r="K246" t="s">
        <v>24</v>
      </c>
      <c r="L246" t="s">
        <v>22</v>
      </c>
      <c r="M246" t="s">
        <v>68</v>
      </c>
      <c r="N246" t="s">
        <v>30</v>
      </c>
    </row>
    <row r="247" spans="1:14">
      <c r="A247">
        <v>22217171</v>
      </c>
      <c r="B247" t="s">
        <v>288</v>
      </c>
      <c r="C247">
        <v>2012</v>
      </c>
      <c r="D247" t="s">
        <v>57</v>
      </c>
      <c r="E247" t="s">
        <v>77</v>
      </c>
      <c r="F247" t="s">
        <v>28</v>
      </c>
      <c r="G247">
        <v>30</v>
      </c>
      <c r="H247">
        <v>742</v>
      </c>
      <c r="I247" s="1">
        <f t="shared" si="3"/>
        <v>0.0404312668463612</v>
      </c>
      <c r="J247" t="s">
        <v>55</v>
      </c>
      <c r="K247" t="s">
        <v>56</v>
      </c>
      <c r="L247" t="s">
        <v>57</v>
      </c>
      <c r="M247" t="s">
        <v>78</v>
      </c>
      <c r="N247" t="s">
        <v>50</v>
      </c>
    </row>
    <row r="248" spans="1:14">
      <c r="A248">
        <v>22247377</v>
      </c>
      <c r="B248" t="s">
        <v>295</v>
      </c>
      <c r="C248">
        <v>2012</v>
      </c>
      <c r="D248" t="s">
        <v>79</v>
      </c>
      <c r="E248" t="s">
        <v>77</v>
      </c>
      <c r="F248" t="s">
        <v>64</v>
      </c>
      <c r="G248">
        <v>0</v>
      </c>
      <c r="H248">
        <v>203</v>
      </c>
      <c r="I248" s="1">
        <f t="shared" si="3"/>
        <v>0</v>
      </c>
      <c r="J248" t="s">
        <v>80</v>
      </c>
      <c r="K248" t="s">
        <v>81</v>
      </c>
      <c r="L248" t="s">
        <v>79</v>
      </c>
      <c r="M248" t="s">
        <v>49</v>
      </c>
      <c r="N248" t="s">
        <v>50</v>
      </c>
    </row>
    <row r="249" spans="1:14">
      <c r="A249">
        <v>22247377</v>
      </c>
      <c r="B249" t="s">
        <v>295</v>
      </c>
      <c r="C249">
        <v>2012</v>
      </c>
      <c r="D249" t="s">
        <v>93</v>
      </c>
      <c r="E249" t="s">
        <v>77</v>
      </c>
      <c r="F249" t="s">
        <v>64</v>
      </c>
      <c r="G249">
        <v>103</v>
      </c>
      <c r="H249">
        <v>203</v>
      </c>
      <c r="I249" s="1">
        <f t="shared" si="3"/>
        <v>0.507389162561576</v>
      </c>
      <c r="J249" t="s">
        <v>94</v>
      </c>
      <c r="K249" t="s">
        <v>95</v>
      </c>
      <c r="L249" t="s">
        <v>93</v>
      </c>
      <c r="M249" t="s">
        <v>49</v>
      </c>
      <c r="N249" t="s">
        <v>50</v>
      </c>
    </row>
    <row r="250" spans="1:14">
      <c r="A250">
        <v>22247381</v>
      </c>
      <c r="B250" t="s">
        <v>183</v>
      </c>
      <c r="C250">
        <v>2012</v>
      </c>
      <c r="D250" t="s">
        <v>163</v>
      </c>
      <c r="E250" t="s">
        <v>77</v>
      </c>
      <c r="F250" t="s">
        <v>28</v>
      </c>
      <c r="G250">
        <v>0</v>
      </c>
      <c r="H250">
        <v>556</v>
      </c>
      <c r="I250" s="1">
        <f t="shared" si="3"/>
        <v>0</v>
      </c>
      <c r="J250" t="s">
        <v>35</v>
      </c>
      <c r="K250" t="s">
        <v>107</v>
      </c>
      <c r="L250" t="s">
        <v>163</v>
      </c>
      <c r="M250" t="s">
        <v>160</v>
      </c>
      <c r="N250" t="s">
        <v>50</v>
      </c>
    </row>
    <row r="251" spans="1:14">
      <c r="A251">
        <v>22247381</v>
      </c>
      <c r="B251" t="s">
        <v>183</v>
      </c>
      <c r="C251">
        <v>2012</v>
      </c>
      <c r="D251" t="s">
        <v>15</v>
      </c>
      <c r="E251" t="s">
        <v>77</v>
      </c>
      <c r="F251" t="s">
        <v>28</v>
      </c>
      <c r="G251">
        <v>214</v>
      </c>
      <c r="H251">
        <v>556</v>
      </c>
      <c r="I251" s="1">
        <f t="shared" si="3"/>
        <v>0.384892086330935</v>
      </c>
      <c r="J251" t="s">
        <v>18</v>
      </c>
      <c r="K251" t="s">
        <v>19</v>
      </c>
      <c r="L251" t="s">
        <v>15</v>
      </c>
      <c r="M251" t="s">
        <v>160</v>
      </c>
      <c r="N251" t="s">
        <v>50</v>
      </c>
    </row>
    <row r="252" spans="1:14">
      <c r="A252">
        <v>22247381</v>
      </c>
      <c r="B252" t="s">
        <v>183</v>
      </c>
      <c r="C252">
        <v>2012</v>
      </c>
      <c r="D252" t="s">
        <v>112</v>
      </c>
      <c r="E252" t="s">
        <v>77</v>
      </c>
      <c r="F252" t="s">
        <v>28</v>
      </c>
      <c r="G252">
        <v>0</v>
      </c>
      <c r="H252">
        <v>556</v>
      </c>
      <c r="I252" s="1">
        <f t="shared" si="3"/>
        <v>0</v>
      </c>
      <c r="J252" t="s">
        <v>80</v>
      </c>
      <c r="K252" t="s">
        <v>113</v>
      </c>
      <c r="L252" t="s">
        <v>112</v>
      </c>
      <c r="M252" t="s">
        <v>160</v>
      </c>
      <c r="N252" t="s">
        <v>50</v>
      </c>
    </row>
    <row r="253" spans="1:14">
      <c r="A253">
        <v>22247381</v>
      </c>
      <c r="B253" t="s">
        <v>183</v>
      </c>
      <c r="C253">
        <v>2012</v>
      </c>
      <c r="D253" t="s">
        <v>195</v>
      </c>
      <c r="E253" t="s">
        <v>77</v>
      </c>
      <c r="F253" t="s">
        <v>28</v>
      </c>
      <c r="G253">
        <v>54</v>
      </c>
      <c r="H253">
        <v>556</v>
      </c>
      <c r="I253" s="1">
        <f t="shared" si="3"/>
        <v>0.0971223021582734</v>
      </c>
      <c r="J253" t="s">
        <v>85</v>
      </c>
      <c r="K253" t="s">
        <v>86</v>
      </c>
      <c r="L253" t="s">
        <v>195</v>
      </c>
      <c r="M253" t="s">
        <v>160</v>
      </c>
      <c r="N253" t="s">
        <v>50</v>
      </c>
    </row>
    <row r="254" spans="1:14">
      <c r="A254">
        <v>22247381</v>
      </c>
      <c r="B254" t="s">
        <v>183</v>
      </c>
      <c r="C254">
        <v>2012</v>
      </c>
      <c r="D254" t="s">
        <v>82</v>
      </c>
      <c r="E254" t="s">
        <v>77</v>
      </c>
      <c r="F254" t="s">
        <v>28</v>
      </c>
      <c r="G254">
        <v>313</v>
      </c>
      <c r="H254">
        <v>556</v>
      </c>
      <c r="I254" s="1">
        <f t="shared" si="3"/>
        <v>0.56294964028777</v>
      </c>
      <c r="J254" t="s">
        <v>38</v>
      </c>
      <c r="K254" t="s">
        <v>39</v>
      </c>
      <c r="L254" t="s">
        <v>82</v>
      </c>
      <c r="M254" t="s">
        <v>160</v>
      </c>
      <c r="N254" t="s">
        <v>50</v>
      </c>
    </row>
    <row r="255" spans="1:14">
      <c r="A255">
        <v>22247381</v>
      </c>
      <c r="B255" t="s">
        <v>183</v>
      </c>
      <c r="C255">
        <v>2012</v>
      </c>
      <c r="D255" t="s">
        <v>79</v>
      </c>
      <c r="E255" t="s">
        <v>77</v>
      </c>
      <c r="F255" t="s">
        <v>28</v>
      </c>
      <c r="G255">
        <v>35</v>
      </c>
      <c r="H255">
        <v>556</v>
      </c>
      <c r="I255" s="1">
        <f t="shared" si="3"/>
        <v>0.0629496402877698</v>
      </c>
      <c r="J255" t="s">
        <v>80</v>
      </c>
      <c r="K255" t="s">
        <v>81</v>
      </c>
      <c r="L255" t="s">
        <v>79</v>
      </c>
      <c r="M255" t="s">
        <v>160</v>
      </c>
      <c r="N255" t="s">
        <v>50</v>
      </c>
    </row>
    <row r="256" spans="1:14">
      <c r="A256">
        <v>22247381</v>
      </c>
      <c r="B256" t="s">
        <v>183</v>
      </c>
      <c r="C256">
        <v>2012</v>
      </c>
      <c r="D256" t="s">
        <v>93</v>
      </c>
      <c r="E256" t="s">
        <v>77</v>
      </c>
      <c r="F256" t="s">
        <v>28</v>
      </c>
      <c r="G256">
        <v>84</v>
      </c>
      <c r="H256">
        <v>556</v>
      </c>
      <c r="I256" s="1">
        <f t="shared" si="3"/>
        <v>0.151079136690647</v>
      </c>
      <c r="J256" t="s">
        <v>94</v>
      </c>
      <c r="K256" t="s">
        <v>95</v>
      </c>
      <c r="L256" t="s">
        <v>93</v>
      </c>
      <c r="M256" t="s">
        <v>160</v>
      </c>
      <c r="N256" t="s">
        <v>50</v>
      </c>
    </row>
    <row r="257" spans="1:14">
      <c r="A257">
        <v>22248024</v>
      </c>
      <c r="B257" t="s">
        <v>296</v>
      </c>
      <c r="C257">
        <v>2012</v>
      </c>
      <c r="D257" t="s">
        <v>249</v>
      </c>
      <c r="E257" t="s">
        <v>77</v>
      </c>
      <c r="F257" t="s">
        <v>64</v>
      </c>
      <c r="G257">
        <v>0</v>
      </c>
      <c r="H257">
        <v>146</v>
      </c>
      <c r="I257" s="1">
        <f t="shared" si="3"/>
        <v>0</v>
      </c>
      <c r="J257" t="s">
        <v>250</v>
      </c>
      <c r="K257" t="s">
        <v>251</v>
      </c>
      <c r="L257" t="s">
        <v>249</v>
      </c>
      <c r="M257" t="s">
        <v>78</v>
      </c>
      <c r="N257" t="s">
        <v>50</v>
      </c>
    </row>
    <row r="258" spans="1:14">
      <c r="A258">
        <v>22264387</v>
      </c>
      <c r="B258" t="s">
        <v>297</v>
      </c>
      <c r="C258">
        <v>2012</v>
      </c>
      <c r="D258" t="s">
        <v>15</v>
      </c>
      <c r="E258" t="s">
        <v>77</v>
      </c>
      <c r="F258" t="s">
        <v>64</v>
      </c>
      <c r="G258">
        <v>3</v>
      </c>
      <c r="H258">
        <v>88</v>
      </c>
      <c r="I258" s="1">
        <f t="shared" si="3"/>
        <v>0.0340909090909091</v>
      </c>
      <c r="J258" t="s">
        <v>18</v>
      </c>
      <c r="K258" t="s">
        <v>19</v>
      </c>
      <c r="L258" t="s">
        <v>15</v>
      </c>
      <c r="M258" t="s">
        <v>146</v>
      </c>
      <c r="N258" t="s">
        <v>134</v>
      </c>
    </row>
    <row r="259" spans="1:14">
      <c r="A259">
        <v>22331288</v>
      </c>
      <c r="B259" t="s">
        <v>298</v>
      </c>
      <c r="C259">
        <v>2012</v>
      </c>
      <c r="D259" t="s">
        <v>83</v>
      </c>
      <c r="E259" t="s">
        <v>77</v>
      </c>
      <c r="F259" t="s">
        <v>28</v>
      </c>
      <c r="G259">
        <v>0</v>
      </c>
      <c r="H259">
        <v>94</v>
      </c>
      <c r="I259" s="1">
        <f t="shared" ref="I259:I322" si="4">G259/H259</f>
        <v>0</v>
      </c>
      <c r="J259" t="s">
        <v>55</v>
      </c>
      <c r="K259" t="s">
        <v>56</v>
      </c>
      <c r="L259" t="s">
        <v>83</v>
      </c>
      <c r="M259" t="s">
        <v>49</v>
      </c>
      <c r="N259" t="s">
        <v>50</v>
      </c>
    </row>
    <row r="260" spans="1:14">
      <c r="A260">
        <v>22331288</v>
      </c>
      <c r="B260" t="s">
        <v>298</v>
      </c>
      <c r="C260">
        <v>2012</v>
      </c>
      <c r="D260" t="s">
        <v>79</v>
      </c>
      <c r="E260" t="s">
        <v>77</v>
      </c>
      <c r="F260" t="s">
        <v>28</v>
      </c>
      <c r="G260">
        <v>1</v>
      </c>
      <c r="H260">
        <v>94</v>
      </c>
      <c r="I260" s="1">
        <f t="shared" si="4"/>
        <v>0.0106382978723404</v>
      </c>
      <c r="J260" t="s">
        <v>80</v>
      </c>
      <c r="K260" t="s">
        <v>81</v>
      </c>
      <c r="L260" t="s">
        <v>79</v>
      </c>
      <c r="M260" t="s">
        <v>49</v>
      </c>
      <c r="N260" t="s">
        <v>50</v>
      </c>
    </row>
    <row r="261" spans="1:14">
      <c r="A261">
        <v>22331288</v>
      </c>
      <c r="B261" t="s">
        <v>298</v>
      </c>
      <c r="C261">
        <v>2012</v>
      </c>
      <c r="D261" t="s">
        <v>93</v>
      </c>
      <c r="E261" t="s">
        <v>77</v>
      </c>
      <c r="F261" t="s">
        <v>28</v>
      </c>
      <c r="G261">
        <v>15</v>
      </c>
      <c r="H261">
        <v>94</v>
      </c>
      <c r="I261" s="1">
        <f t="shared" si="4"/>
        <v>0.159574468085106</v>
      </c>
      <c r="J261" t="s">
        <v>94</v>
      </c>
      <c r="K261" t="s">
        <v>95</v>
      </c>
      <c r="L261" t="s">
        <v>93</v>
      </c>
      <c r="M261" t="s">
        <v>49</v>
      </c>
      <c r="N261" t="s">
        <v>50</v>
      </c>
    </row>
    <row r="262" spans="1:14">
      <c r="A262">
        <v>22331288</v>
      </c>
      <c r="B262" t="s">
        <v>298</v>
      </c>
      <c r="C262">
        <v>2012</v>
      </c>
      <c r="D262" t="s">
        <v>15</v>
      </c>
      <c r="E262" t="s">
        <v>77</v>
      </c>
      <c r="F262" t="s">
        <v>28</v>
      </c>
      <c r="G262">
        <v>4</v>
      </c>
      <c r="H262">
        <v>94</v>
      </c>
      <c r="I262" s="1">
        <f t="shared" si="4"/>
        <v>0.0425531914893617</v>
      </c>
      <c r="J262" t="s">
        <v>18</v>
      </c>
      <c r="K262" t="s">
        <v>19</v>
      </c>
      <c r="L262" t="s">
        <v>15</v>
      </c>
      <c r="M262" t="s">
        <v>49</v>
      </c>
      <c r="N262" t="s">
        <v>50</v>
      </c>
    </row>
    <row r="263" spans="1:14">
      <c r="A263">
        <v>22331288</v>
      </c>
      <c r="B263" t="s">
        <v>298</v>
      </c>
      <c r="C263">
        <v>2012</v>
      </c>
      <c r="D263" t="s">
        <v>84</v>
      </c>
      <c r="E263" t="s">
        <v>77</v>
      </c>
      <c r="F263" t="s">
        <v>28</v>
      </c>
      <c r="G263">
        <v>2</v>
      </c>
      <c r="H263">
        <v>94</v>
      </c>
      <c r="I263" s="1">
        <f t="shared" si="4"/>
        <v>0.0212765957446809</v>
      </c>
      <c r="J263" t="s">
        <v>85</v>
      </c>
      <c r="K263" t="s">
        <v>86</v>
      </c>
      <c r="L263" t="s">
        <v>84</v>
      </c>
      <c r="M263" t="s">
        <v>49</v>
      </c>
      <c r="N263" t="s">
        <v>50</v>
      </c>
    </row>
    <row r="264" spans="1:14">
      <c r="A264">
        <v>22350652</v>
      </c>
      <c r="B264" t="s">
        <v>299</v>
      </c>
      <c r="C264">
        <v>2012</v>
      </c>
      <c r="D264" t="s">
        <v>300</v>
      </c>
      <c r="E264" t="s">
        <v>77</v>
      </c>
      <c r="F264" t="s">
        <v>64</v>
      </c>
      <c r="G264">
        <v>5</v>
      </c>
      <c r="H264">
        <v>10</v>
      </c>
      <c r="I264" s="1">
        <f t="shared" si="4"/>
        <v>0.5</v>
      </c>
      <c r="J264" t="s">
        <v>35</v>
      </c>
      <c r="K264" t="s">
        <v>107</v>
      </c>
      <c r="L264" t="s">
        <v>300</v>
      </c>
      <c r="M264" t="s">
        <v>301</v>
      </c>
      <c r="N264" t="s">
        <v>50</v>
      </c>
    </row>
    <row r="265" spans="1:14">
      <c r="A265">
        <v>22441980</v>
      </c>
      <c r="B265" t="s">
        <v>302</v>
      </c>
      <c r="C265">
        <v>2012</v>
      </c>
      <c r="D265" t="s">
        <v>45</v>
      </c>
      <c r="E265" t="s">
        <v>51</v>
      </c>
      <c r="F265" t="s">
        <v>64</v>
      </c>
      <c r="G265">
        <v>2</v>
      </c>
      <c r="H265">
        <v>2</v>
      </c>
      <c r="I265" s="1">
        <f t="shared" si="4"/>
        <v>1</v>
      </c>
      <c r="J265" t="s">
        <v>23</v>
      </c>
      <c r="K265" t="s">
        <v>46</v>
      </c>
      <c r="L265" t="s">
        <v>45</v>
      </c>
      <c r="M265" t="s">
        <v>303</v>
      </c>
      <c r="N265" t="s">
        <v>50</v>
      </c>
    </row>
    <row r="266" spans="1:14">
      <c r="A266">
        <v>22448528</v>
      </c>
      <c r="B266" t="s">
        <v>304</v>
      </c>
      <c r="C266">
        <v>2012</v>
      </c>
      <c r="D266" t="s">
        <v>45</v>
      </c>
      <c r="E266" t="s">
        <v>48</v>
      </c>
      <c r="F266" t="s">
        <v>41</v>
      </c>
      <c r="G266">
        <v>20</v>
      </c>
      <c r="H266">
        <v>50</v>
      </c>
      <c r="I266" s="1">
        <f t="shared" si="4"/>
        <v>0.4</v>
      </c>
      <c r="J266" t="s">
        <v>23</v>
      </c>
      <c r="K266" t="s">
        <v>46</v>
      </c>
      <c r="L266" t="s">
        <v>45</v>
      </c>
      <c r="M266" t="s">
        <v>151</v>
      </c>
      <c r="N266" t="s">
        <v>30</v>
      </c>
    </row>
    <row r="267" spans="1:14">
      <c r="A267">
        <v>22467179</v>
      </c>
      <c r="B267" t="s">
        <v>305</v>
      </c>
      <c r="C267">
        <v>2012</v>
      </c>
      <c r="D267" t="s">
        <v>306</v>
      </c>
      <c r="E267" t="s">
        <v>167</v>
      </c>
      <c r="F267" t="s">
        <v>64</v>
      </c>
      <c r="G267">
        <v>49</v>
      </c>
      <c r="H267">
        <v>353</v>
      </c>
      <c r="I267" s="1">
        <f t="shared" si="4"/>
        <v>0.138810198300283</v>
      </c>
      <c r="J267" t="s">
        <v>231</v>
      </c>
      <c r="K267" t="s">
        <v>61</v>
      </c>
      <c r="L267" t="s">
        <v>306</v>
      </c>
      <c r="M267" t="s">
        <v>232</v>
      </c>
      <c r="N267" t="s">
        <v>50</v>
      </c>
    </row>
    <row r="268" spans="1:14">
      <c r="A268">
        <v>22493123</v>
      </c>
      <c r="B268" t="s">
        <v>307</v>
      </c>
      <c r="C268">
        <v>2012</v>
      </c>
      <c r="D268" t="s">
        <v>15</v>
      </c>
      <c r="E268" t="s">
        <v>77</v>
      </c>
      <c r="F268" t="s">
        <v>28</v>
      </c>
      <c r="G268">
        <v>0</v>
      </c>
      <c r="H268">
        <v>512</v>
      </c>
      <c r="I268" s="1">
        <f t="shared" si="4"/>
        <v>0</v>
      </c>
      <c r="J268" t="s">
        <v>18</v>
      </c>
      <c r="K268" t="s">
        <v>19</v>
      </c>
      <c r="L268" t="s">
        <v>15</v>
      </c>
      <c r="M268" t="s">
        <v>20</v>
      </c>
      <c r="N268" t="s">
        <v>21</v>
      </c>
    </row>
    <row r="269" spans="1:14">
      <c r="A269">
        <v>22493123</v>
      </c>
      <c r="B269" t="s">
        <v>307</v>
      </c>
      <c r="C269">
        <v>2012</v>
      </c>
      <c r="D269" t="s">
        <v>83</v>
      </c>
      <c r="E269" t="s">
        <v>77</v>
      </c>
      <c r="F269" t="s">
        <v>28</v>
      </c>
      <c r="G269">
        <v>0</v>
      </c>
      <c r="H269">
        <v>307</v>
      </c>
      <c r="I269" s="1">
        <f t="shared" si="4"/>
        <v>0</v>
      </c>
      <c r="J269" t="s">
        <v>55</v>
      </c>
      <c r="K269" t="s">
        <v>56</v>
      </c>
      <c r="L269" t="s">
        <v>83</v>
      </c>
      <c r="M269" t="s">
        <v>20</v>
      </c>
      <c r="N269" t="s">
        <v>21</v>
      </c>
    </row>
    <row r="270" spans="1:14">
      <c r="A270">
        <v>22493123</v>
      </c>
      <c r="B270" t="s">
        <v>307</v>
      </c>
      <c r="C270">
        <v>2012</v>
      </c>
      <c r="D270" t="s">
        <v>93</v>
      </c>
      <c r="E270" t="s">
        <v>77</v>
      </c>
      <c r="F270" t="s">
        <v>28</v>
      </c>
      <c r="G270">
        <v>53</v>
      </c>
      <c r="H270">
        <v>90</v>
      </c>
      <c r="I270" s="1">
        <f t="shared" si="4"/>
        <v>0.588888888888889</v>
      </c>
      <c r="J270" t="s">
        <v>94</v>
      </c>
      <c r="K270" t="s">
        <v>95</v>
      </c>
      <c r="L270" t="s">
        <v>93</v>
      </c>
      <c r="M270" t="s">
        <v>20</v>
      </c>
      <c r="N270" t="s">
        <v>21</v>
      </c>
    </row>
    <row r="271" spans="1:14">
      <c r="A271">
        <v>2250324</v>
      </c>
      <c r="B271" t="s">
        <v>308</v>
      </c>
      <c r="C271">
        <v>1990</v>
      </c>
      <c r="D271" t="s">
        <v>45</v>
      </c>
      <c r="E271" t="s">
        <v>16</v>
      </c>
      <c r="F271" t="s">
        <v>41</v>
      </c>
      <c r="G271">
        <v>326</v>
      </c>
      <c r="H271">
        <v>2173</v>
      </c>
      <c r="I271" s="1">
        <f t="shared" si="4"/>
        <v>0.150023009664059</v>
      </c>
      <c r="J271" t="s">
        <v>23</v>
      </c>
      <c r="K271" t="s">
        <v>46</v>
      </c>
      <c r="L271" t="s">
        <v>45</v>
      </c>
      <c r="M271" t="s">
        <v>20</v>
      </c>
      <c r="N271" t="s">
        <v>21</v>
      </c>
    </row>
    <row r="272" spans="1:14">
      <c r="A272">
        <v>22516920</v>
      </c>
      <c r="B272" t="s">
        <v>309</v>
      </c>
      <c r="C272">
        <v>2012</v>
      </c>
      <c r="D272" t="s">
        <v>15</v>
      </c>
      <c r="E272" t="s">
        <v>77</v>
      </c>
      <c r="F272" t="s">
        <v>28</v>
      </c>
      <c r="G272">
        <v>0</v>
      </c>
      <c r="H272">
        <v>301</v>
      </c>
      <c r="I272" s="1">
        <f t="shared" si="4"/>
        <v>0</v>
      </c>
      <c r="J272" t="s">
        <v>18</v>
      </c>
      <c r="K272" t="s">
        <v>19</v>
      </c>
      <c r="L272" t="s">
        <v>15</v>
      </c>
      <c r="M272" t="s">
        <v>148</v>
      </c>
      <c r="N272" t="s">
        <v>50</v>
      </c>
    </row>
    <row r="273" spans="1:14">
      <c r="A273">
        <v>22516920</v>
      </c>
      <c r="B273" t="s">
        <v>309</v>
      </c>
      <c r="C273">
        <v>2012</v>
      </c>
      <c r="D273" t="s">
        <v>84</v>
      </c>
      <c r="E273" t="s">
        <v>77</v>
      </c>
      <c r="F273" t="s">
        <v>28</v>
      </c>
      <c r="G273">
        <v>0</v>
      </c>
      <c r="H273">
        <v>272</v>
      </c>
      <c r="I273" s="1">
        <f t="shared" si="4"/>
        <v>0</v>
      </c>
      <c r="J273" t="s">
        <v>85</v>
      </c>
      <c r="K273" t="s">
        <v>86</v>
      </c>
      <c r="L273" t="s">
        <v>84</v>
      </c>
      <c r="M273" t="s">
        <v>148</v>
      </c>
      <c r="N273" t="s">
        <v>50</v>
      </c>
    </row>
    <row r="274" spans="1:14">
      <c r="A274">
        <v>22516920</v>
      </c>
      <c r="B274" t="s">
        <v>309</v>
      </c>
      <c r="C274">
        <v>2012</v>
      </c>
      <c r="D274" t="s">
        <v>112</v>
      </c>
      <c r="E274" t="s">
        <v>77</v>
      </c>
      <c r="F274" t="s">
        <v>28</v>
      </c>
      <c r="G274">
        <v>0</v>
      </c>
      <c r="H274">
        <v>301</v>
      </c>
      <c r="I274" s="1">
        <f t="shared" si="4"/>
        <v>0</v>
      </c>
      <c r="J274" t="s">
        <v>80</v>
      </c>
      <c r="K274" t="s">
        <v>113</v>
      </c>
      <c r="L274" t="s">
        <v>112</v>
      </c>
      <c r="M274" t="s">
        <v>148</v>
      </c>
      <c r="N274" t="s">
        <v>50</v>
      </c>
    </row>
    <row r="275" spans="1:14">
      <c r="A275">
        <v>22516920</v>
      </c>
      <c r="B275" t="s">
        <v>309</v>
      </c>
      <c r="C275">
        <v>2012</v>
      </c>
      <c r="D275" t="s">
        <v>163</v>
      </c>
      <c r="E275" t="s">
        <v>77</v>
      </c>
      <c r="F275" t="s">
        <v>28</v>
      </c>
      <c r="G275">
        <v>0</v>
      </c>
      <c r="H275">
        <v>301</v>
      </c>
      <c r="I275" s="1">
        <f t="shared" si="4"/>
        <v>0</v>
      </c>
      <c r="J275" t="s">
        <v>35</v>
      </c>
      <c r="K275" t="s">
        <v>107</v>
      </c>
      <c r="L275" t="s">
        <v>163</v>
      </c>
      <c r="M275" t="s">
        <v>148</v>
      </c>
      <c r="N275" t="s">
        <v>50</v>
      </c>
    </row>
    <row r="276" spans="1:14">
      <c r="A276">
        <v>22516920</v>
      </c>
      <c r="B276" t="s">
        <v>309</v>
      </c>
      <c r="C276">
        <v>2012</v>
      </c>
      <c r="D276" t="s">
        <v>93</v>
      </c>
      <c r="E276" t="s">
        <v>77</v>
      </c>
      <c r="F276" t="s">
        <v>28</v>
      </c>
      <c r="G276">
        <v>150</v>
      </c>
      <c r="H276">
        <v>294</v>
      </c>
      <c r="I276" s="1">
        <f t="shared" si="4"/>
        <v>0.510204081632653</v>
      </c>
      <c r="J276" t="s">
        <v>94</v>
      </c>
      <c r="K276" t="s">
        <v>95</v>
      </c>
      <c r="L276" t="s">
        <v>93</v>
      </c>
      <c r="M276" t="s">
        <v>148</v>
      </c>
      <c r="N276" t="s">
        <v>50</v>
      </c>
    </row>
    <row r="277" spans="1:14">
      <c r="A277">
        <v>22516920</v>
      </c>
      <c r="B277" t="s">
        <v>309</v>
      </c>
      <c r="C277">
        <v>2012</v>
      </c>
      <c r="D277" t="s">
        <v>82</v>
      </c>
      <c r="E277" t="s">
        <v>77</v>
      </c>
      <c r="F277" t="s">
        <v>28</v>
      </c>
      <c r="G277">
        <v>140</v>
      </c>
      <c r="H277">
        <v>301</v>
      </c>
      <c r="I277" s="1">
        <f t="shared" si="4"/>
        <v>0.465116279069767</v>
      </c>
      <c r="J277" t="s">
        <v>38</v>
      </c>
      <c r="K277" t="s">
        <v>39</v>
      </c>
      <c r="L277" t="s">
        <v>82</v>
      </c>
      <c r="M277" t="s">
        <v>148</v>
      </c>
      <c r="N277" t="s">
        <v>50</v>
      </c>
    </row>
    <row r="278" spans="1:14">
      <c r="A278">
        <v>22516920</v>
      </c>
      <c r="B278" t="s">
        <v>309</v>
      </c>
      <c r="C278">
        <v>2012</v>
      </c>
      <c r="D278" t="s">
        <v>79</v>
      </c>
      <c r="E278" t="s">
        <v>77</v>
      </c>
      <c r="F278" t="s">
        <v>28</v>
      </c>
      <c r="G278">
        <v>0</v>
      </c>
      <c r="H278">
        <v>301</v>
      </c>
      <c r="I278" s="1">
        <f t="shared" si="4"/>
        <v>0</v>
      </c>
      <c r="J278" t="s">
        <v>80</v>
      </c>
      <c r="K278" t="s">
        <v>81</v>
      </c>
      <c r="L278" t="s">
        <v>79</v>
      </c>
      <c r="M278" t="s">
        <v>148</v>
      </c>
      <c r="N278" t="s">
        <v>50</v>
      </c>
    </row>
    <row r="279" spans="1:14">
      <c r="A279">
        <v>22516920</v>
      </c>
      <c r="B279" t="s">
        <v>309</v>
      </c>
      <c r="C279">
        <v>2012</v>
      </c>
      <c r="D279" t="s">
        <v>83</v>
      </c>
      <c r="E279" t="s">
        <v>77</v>
      </c>
      <c r="F279" t="s">
        <v>28</v>
      </c>
      <c r="G279">
        <v>0</v>
      </c>
      <c r="H279">
        <v>301</v>
      </c>
      <c r="I279" s="1">
        <f t="shared" si="4"/>
        <v>0</v>
      </c>
      <c r="J279" t="s">
        <v>55</v>
      </c>
      <c r="K279" t="s">
        <v>56</v>
      </c>
      <c r="L279" t="s">
        <v>83</v>
      </c>
      <c r="M279" t="s">
        <v>148</v>
      </c>
      <c r="N279" t="s">
        <v>50</v>
      </c>
    </row>
    <row r="280" spans="1:14">
      <c r="A280">
        <v>22569887</v>
      </c>
      <c r="B280" t="s">
        <v>310</v>
      </c>
      <c r="C280">
        <v>2012</v>
      </c>
      <c r="D280" t="s">
        <v>311</v>
      </c>
      <c r="E280" t="s">
        <v>77</v>
      </c>
      <c r="F280" t="s">
        <v>64</v>
      </c>
      <c r="G280">
        <v>7</v>
      </c>
      <c r="H280">
        <v>10</v>
      </c>
      <c r="I280" s="1">
        <f t="shared" si="4"/>
        <v>0.7</v>
      </c>
      <c r="J280" t="s">
        <v>35</v>
      </c>
      <c r="K280" t="s">
        <v>107</v>
      </c>
      <c r="L280" t="s">
        <v>311</v>
      </c>
      <c r="M280" t="s">
        <v>301</v>
      </c>
      <c r="N280" t="s">
        <v>50</v>
      </c>
    </row>
    <row r="281" spans="1:14">
      <c r="A281">
        <v>22575819</v>
      </c>
      <c r="B281" t="s">
        <v>267</v>
      </c>
      <c r="C281">
        <v>2012</v>
      </c>
      <c r="D281" t="s">
        <v>82</v>
      </c>
      <c r="E281" t="s">
        <v>77</v>
      </c>
      <c r="F281" t="s">
        <v>64</v>
      </c>
      <c r="G281">
        <v>44</v>
      </c>
      <c r="H281">
        <v>842</v>
      </c>
      <c r="I281" s="1">
        <f t="shared" si="4"/>
        <v>0.0522565320665083</v>
      </c>
      <c r="J281" t="s">
        <v>38</v>
      </c>
      <c r="K281" t="s">
        <v>39</v>
      </c>
      <c r="L281" t="s">
        <v>82</v>
      </c>
      <c r="M281" t="s">
        <v>268</v>
      </c>
      <c r="N281" t="s">
        <v>50</v>
      </c>
    </row>
    <row r="282" spans="1:14">
      <c r="A282">
        <v>22579481</v>
      </c>
      <c r="B282" t="s">
        <v>312</v>
      </c>
      <c r="C282">
        <v>2012</v>
      </c>
      <c r="D282" t="s">
        <v>313</v>
      </c>
      <c r="E282" t="s">
        <v>77</v>
      </c>
      <c r="F282" t="s">
        <v>64</v>
      </c>
      <c r="G282">
        <v>50</v>
      </c>
      <c r="H282">
        <v>72</v>
      </c>
      <c r="I282" s="1">
        <f t="shared" si="4"/>
        <v>0.694444444444444</v>
      </c>
      <c r="J282" t="s">
        <v>35</v>
      </c>
      <c r="K282" t="s">
        <v>107</v>
      </c>
      <c r="L282" t="s">
        <v>313</v>
      </c>
      <c r="M282" t="s">
        <v>199</v>
      </c>
      <c r="N282" t="s">
        <v>50</v>
      </c>
    </row>
    <row r="283" spans="1:14">
      <c r="A283">
        <v>22579481</v>
      </c>
      <c r="B283" t="s">
        <v>312</v>
      </c>
      <c r="C283">
        <v>2012</v>
      </c>
      <c r="D283" t="s">
        <v>311</v>
      </c>
      <c r="E283" t="s">
        <v>77</v>
      </c>
      <c r="F283" t="s">
        <v>64</v>
      </c>
      <c r="G283">
        <v>32</v>
      </c>
      <c r="H283">
        <v>72</v>
      </c>
      <c r="I283" s="1">
        <f t="shared" si="4"/>
        <v>0.444444444444444</v>
      </c>
      <c r="J283" t="s">
        <v>35</v>
      </c>
      <c r="K283" t="s">
        <v>107</v>
      </c>
      <c r="L283" t="s">
        <v>311</v>
      </c>
      <c r="M283" t="s">
        <v>199</v>
      </c>
      <c r="N283" t="s">
        <v>50</v>
      </c>
    </row>
    <row r="284" spans="1:14">
      <c r="A284">
        <v>22595138</v>
      </c>
      <c r="B284" t="s">
        <v>314</v>
      </c>
      <c r="C284">
        <v>2012</v>
      </c>
      <c r="D284" t="s">
        <v>57</v>
      </c>
      <c r="E284" t="s">
        <v>51</v>
      </c>
      <c r="F284" t="s">
        <v>17</v>
      </c>
      <c r="G284">
        <v>1</v>
      </c>
      <c r="H284">
        <v>1</v>
      </c>
      <c r="I284" s="1">
        <f t="shared" si="4"/>
        <v>1</v>
      </c>
      <c r="J284" t="s">
        <v>55</v>
      </c>
      <c r="K284" t="s">
        <v>56</v>
      </c>
      <c r="L284" t="s">
        <v>57</v>
      </c>
      <c r="M284" t="s">
        <v>78</v>
      </c>
      <c r="N284" t="s">
        <v>50</v>
      </c>
    </row>
    <row r="285" spans="1:14">
      <c r="A285">
        <v>22595138</v>
      </c>
      <c r="B285" t="s">
        <v>314</v>
      </c>
      <c r="C285">
        <v>2012</v>
      </c>
      <c r="D285" t="s">
        <v>57</v>
      </c>
      <c r="E285" t="s">
        <v>77</v>
      </c>
      <c r="F285" t="s">
        <v>17</v>
      </c>
      <c r="G285">
        <v>9</v>
      </c>
      <c r="H285">
        <v>21</v>
      </c>
      <c r="I285" s="1">
        <f t="shared" si="4"/>
        <v>0.428571428571429</v>
      </c>
      <c r="J285" t="s">
        <v>55</v>
      </c>
      <c r="K285" t="s">
        <v>56</v>
      </c>
      <c r="L285" t="s">
        <v>57</v>
      </c>
      <c r="M285" t="s">
        <v>78</v>
      </c>
      <c r="N285" t="s">
        <v>50</v>
      </c>
    </row>
    <row r="286" spans="1:14">
      <c r="A286">
        <v>22595138</v>
      </c>
      <c r="B286" t="s">
        <v>314</v>
      </c>
      <c r="C286">
        <v>2012</v>
      </c>
      <c r="D286" t="s">
        <v>57</v>
      </c>
      <c r="E286" t="s">
        <v>77</v>
      </c>
      <c r="F286" t="s">
        <v>28</v>
      </c>
      <c r="G286">
        <v>69</v>
      </c>
      <c r="H286">
        <v>545</v>
      </c>
      <c r="I286" s="1">
        <f t="shared" si="4"/>
        <v>0.126605504587156</v>
      </c>
      <c r="J286" t="s">
        <v>55</v>
      </c>
      <c r="K286" t="s">
        <v>56</v>
      </c>
      <c r="L286" t="s">
        <v>57</v>
      </c>
      <c r="M286" t="s">
        <v>78</v>
      </c>
      <c r="N286" t="s">
        <v>50</v>
      </c>
    </row>
    <row r="287" spans="1:14">
      <c r="A287">
        <v>22595138</v>
      </c>
      <c r="B287" t="s">
        <v>314</v>
      </c>
      <c r="C287">
        <v>2012</v>
      </c>
      <c r="D287" t="s">
        <v>57</v>
      </c>
      <c r="E287" t="s">
        <v>51</v>
      </c>
      <c r="F287" t="s">
        <v>28</v>
      </c>
      <c r="G287">
        <v>21</v>
      </c>
      <c r="H287">
        <v>103</v>
      </c>
      <c r="I287" s="1">
        <f t="shared" si="4"/>
        <v>0.203883495145631</v>
      </c>
      <c r="J287" t="s">
        <v>55</v>
      </c>
      <c r="K287" t="s">
        <v>56</v>
      </c>
      <c r="L287" t="s">
        <v>57</v>
      </c>
      <c r="M287" t="s">
        <v>78</v>
      </c>
      <c r="N287" t="s">
        <v>50</v>
      </c>
    </row>
    <row r="288" spans="1:14">
      <c r="A288">
        <v>22608695</v>
      </c>
      <c r="B288" t="s">
        <v>315</v>
      </c>
      <c r="C288">
        <v>2012</v>
      </c>
      <c r="D288" t="s">
        <v>22</v>
      </c>
      <c r="E288" t="s">
        <v>48</v>
      </c>
      <c r="F288" t="s">
        <v>64</v>
      </c>
      <c r="G288">
        <v>59</v>
      </c>
      <c r="H288">
        <v>164</v>
      </c>
      <c r="I288" s="1">
        <f t="shared" si="4"/>
        <v>0.359756097560976</v>
      </c>
      <c r="J288" t="s">
        <v>23</v>
      </c>
      <c r="K288" t="s">
        <v>24</v>
      </c>
      <c r="L288" t="s">
        <v>22</v>
      </c>
      <c r="M288" t="s">
        <v>151</v>
      </c>
      <c r="N288" t="s">
        <v>30</v>
      </c>
    </row>
    <row r="289" spans="1:14">
      <c r="A289">
        <v>22718947</v>
      </c>
      <c r="B289" t="s">
        <v>316</v>
      </c>
      <c r="C289">
        <v>2012</v>
      </c>
      <c r="D289" t="s">
        <v>124</v>
      </c>
      <c r="E289" t="s">
        <v>77</v>
      </c>
      <c r="F289" t="s">
        <v>28</v>
      </c>
      <c r="G289">
        <v>59</v>
      </c>
      <c r="H289">
        <v>421</v>
      </c>
      <c r="I289" s="1">
        <f t="shared" si="4"/>
        <v>0.140142517814727</v>
      </c>
      <c r="J289" t="s">
        <v>125</v>
      </c>
      <c r="K289" t="s">
        <v>126</v>
      </c>
      <c r="L289" t="s">
        <v>124</v>
      </c>
      <c r="M289" t="s">
        <v>70</v>
      </c>
      <c r="N289" t="s">
        <v>50</v>
      </c>
    </row>
    <row r="290" spans="1:14">
      <c r="A290">
        <v>22740527</v>
      </c>
      <c r="B290" t="s">
        <v>317</v>
      </c>
      <c r="C290">
        <v>2012</v>
      </c>
      <c r="D290" t="s">
        <v>93</v>
      </c>
      <c r="E290" t="s">
        <v>77</v>
      </c>
      <c r="F290" t="s">
        <v>64</v>
      </c>
      <c r="G290">
        <v>236</v>
      </c>
      <c r="H290">
        <v>312</v>
      </c>
      <c r="I290" s="1">
        <f t="shared" si="4"/>
        <v>0.756410256410256</v>
      </c>
      <c r="J290" t="s">
        <v>94</v>
      </c>
      <c r="K290" t="s">
        <v>95</v>
      </c>
      <c r="L290" t="s">
        <v>93</v>
      </c>
      <c r="M290" t="s">
        <v>318</v>
      </c>
      <c r="N290" t="s">
        <v>50</v>
      </c>
    </row>
    <row r="291" spans="1:14">
      <c r="A291">
        <v>22743215</v>
      </c>
      <c r="B291" t="s">
        <v>288</v>
      </c>
      <c r="C291">
        <v>2012</v>
      </c>
      <c r="D291" t="s">
        <v>15</v>
      </c>
      <c r="E291" t="s">
        <v>77</v>
      </c>
      <c r="F291" t="s">
        <v>28</v>
      </c>
      <c r="G291">
        <v>1194</v>
      </c>
      <c r="H291">
        <v>2178</v>
      </c>
      <c r="I291" s="1">
        <f t="shared" si="4"/>
        <v>0.548209366391185</v>
      </c>
      <c r="J291" t="s">
        <v>18</v>
      </c>
      <c r="K291" t="s">
        <v>19</v>
      </c>
      <c r="L291" t="s">
        <v>15</v>
      </c>
      <c r="M291" t="s">
        <v>78</v>
      </c>
      <c r="N291" t="s">
        <v>50</v>
      </c>
    </row>
    <row r="292" spans="1:14">
      <c r="A292">
        <v>22796137</v>
      </c>
      <c r="B292" t="s">
        <v>209</v>
      </c>
      <c r="C292">
        <v>2012</v>
      </c>
      <c r="D292" t="s">
        <v>45</v>
      </c>
      <c r="E292" t="s">
        <v>51</v>
      </c>
      <c r="F292" t="s">
        <v>41</v>
      </c>
      <c r="G292">
        <v>449</v>
      </c>
      <c r="H292">
        <v>645</v>
      </c>
      <c r="I292" s="1">
        <f t="shared" si="4"/>
        <v>0.696124031007752</v>
      </c>
      <c r="J292" t="s">
        <v>23</v>
      </c>
      <c r="K292" t="s">
        <v>46</v>
      </c>
      <c r="L292" t="s">
        <v>45</v>
      </c>
      <c r="M292" t="s">
        <v>75</v>
      </c>
      <c r="N292" t="s">
        <v>50</v>
      </c>
    </row>
    <row r="293" spans="1:14">
      <c r="A293">
        <v>22841406</v>
      </c>
      <c r="B293" t="s">
        <v>319</v>
      </c>
      <c r="C293">
        <v>2012</v>
      </c>
      <c r="D293" t="s">
        <v>83</v>
      </c>
      <c r="E293" t="s">
        <v>77</v>
      </c>
      <c r="F293" t="s">
        <v>28</v>
      </c>
      <c r="G293">
        <v>109</v>
      </c>
      <c r="H293">
        <v>309</v>
      </c>
      <c r="I293" s="1">
        <f t="shared" si="4"/>
        <v>0.352750809061489</v>
      </c>
      <c r="J293" t="s">
        <v>55</v>
      </c>
      <c r="K293" t="s">
        <v>56</v>
      </c>
      <c r="L293" t="s">
        <v>83</v>
      </c>
      <c r="M293" t="s">
        <v>151</v>
      </c>
      <c r="N293" t="s">
        <v>30</v>
      </c>
    </row>
    <row r="294" spans="1:14">
      <c r="A294">
        <v>22926717</v>
      </c>
      <c r="B294" t="s">
        <v>320</v>
      </c>
      <c r="C294">
        <v>2013</v>
      </c>
      <c r="D294" t="s">
        <v>321</v>
      </c>
      <c r="E294" t="s">
        <v>77</v>
      </c>
      <c r="F294" t="s">
        <v>64</v>
      </c>
      <c r="G294">
        <v>5</v>
      </c>
      <c r="H294">
        <v>10</v>
      </c>
      <c r="I294" s="1">
        <f t="shared" si="4"/>
        <v>0.5</v>
      </c>
      <c r="J294" t="s">
        <v>322</v>
      </c>
      <c r="K294" t="s">
        <v>323</v>
      </c>
      <c r="L294" t="s">
        <v>321</v>
      </c>
      <c r="M294" t="s">
        <v>301</v>
      </c>
      <c r="N294" t="s">
        <v>50</v>
      </c>
    </row>
    <row r="295" spans="1:14">
      <c r="A295">
        <v>22926717</v>
      </c>
      <c r="B295" t="s">
        <v>320</v>
      </c>
      <c r="C295">
        <v>2013</v>
      </c>
      <c r="D295" t="s">
        <v>300</v>
      </c>
      <c r="E295" t="s">
        <v>77</v>
      </c>
      <c r="F295" t="s">
        <v>64</v>
      </c>
      <c r="G295">
        <v>5</v>
      </c>
      <c r="H295">
        <v>10</v>
      </c>
      <c r="I295" s="1">
        <f t="shared" si="4"/>
        <v>0.5</v>
      </c>
      <c r="J295" t="s">
        <v>35</v>
      </c>
      <c r="K295" t="s">
        <v>107</v>
      </c>
      <c r="L295" t="s">
        <v>300</v>
      </c>
      <c r="M295" t="s">
        <v>301</v>
      </c>
      <c r="N295" t="s">
        <v>50</v>
      </c>
    </row>
    <row r="296" spans="1:14">
      <c r="A296">
        <v>22926717</v>
      </c>
      <c r="B296" t="s">
        <v>320</v>
      </c>
      <c r="C296">
        <v>2013</v>
      </c>
      <c r="D296" t="s">
        <v>311</v>
      </c>
      <c r="E296" t="s">
        <v>77</v>
      </c>
      <c r="F296" t="s">
        <v>64</v>
      </c>
      <c r="G296">
        <v>7</v>
      </c>
      <c r="H296">
        <v>10</v>
      </c>
      <c r="I296" s="1">
        <f t="shared" si="4"/>
        <v>0.7</v>
      </c>
      <c r="J296" t="s">
        <v>35</v>
      </c>
      <c r="K296" t="s">
        <v>107</v>
      </c>
      <c r="L296" t="s">
        <v>311</v>
      </c>
      <c r="M296" t="s">
        <v>301</v>
      </c>
      <c r="N296" t="s">
        <v>50</v>
      </c>
    </row>
    <row r="297" spans="1:14">
      <c r="A297">
        <v>22965450</v>
      </c>
      <c r="B297" t="s">
        <v>324</v>
      </c>
      <c r="C297">
        <v>2013</v>
      </c>
      <c r="D297" t="s">
        <v>112</v>
      </c>
      <c r="E297" t="s">
        <v>77</v>
      </c>
      <c r="F297" t="s">
        <v>64</v>
      </c>
      <c r="G297">
        <v>0</v>
      </c>
      <c r="H297">
        <v>146</v>
      </c>
      <c r="I297" s="1">
        <f t="shared" si="4"/>
        <v>0</v>
      </c>
      <c r="J297" t="s">
        <v>80</v>
      </c>
      <c r="K297" t="s">
        <v>113</v>
      </c>
      <c r="L297" t="s">
        <v>112</v>
      </c>
      <c r="M297" t="s">
        <v>151</v>
      </c>
      <c r="N297" t="s">
        <v>30</v>
      </c>
    </row>
    <row r="298" spans="1:14">
      <c r="A298">
        <v>22965450</v>
      </c>
      <c r="B298" t="s">
        <v>324</v>
      </c>
      <c r="C298">
        <v>2013</v>
      </c>
      <c r="D298" t="s">
        <v>321</v>
      </c>
      <c r="E298" t="s">
        <v>77</v>
      </c>
      <c r="F298" t="s">
        <v>64</v>
      </c>
      <c r="G298">
        <v>1</v>
      </c>
      <c r="H298">
        <v>146</v>
      </c>
      <c r="I298" s="1">
        <f t="shared" si="4"/>
        <v>0.00684931506849315</v>
      </c>
      <c r="J298" t="s">
        <v>322</v>
      </c>
      <c r="K298" t="s">
        <v>323</v>
      </c>
      <c r="L298" t="s">
        <v>321</v>
      </c>
      <c r="M298" t="s">
        <v>151</v>
      </c>
      <c r="N298" t="s">
        <v>30</v>
      </c>
    </row>
    <row r="299" spans="1:14">
      <c r="A299">
        <v>22965450</v>
      </c>
      <c r="B299" t="s">
        <v>324</v>
      </c>
      <c r="C299">
        <v>2013</v>
      </c>
      <c r="D299" t="s">
        <v>277</v>
      </c>
      <c r="E299" t="s">
        <v>77</v>
      </c>
      <c r="F299" t="s">
        <v>64</v>
      </c>
      <c r="G299">
        <v>0</v>
      </c>
      <c r="H299">
        <v>146</v>
      </c>
      <c r="I299" s="1">
        <f t="shared" si="4"/>
        <v>0</v>
      </c>
      <c r="J299" t="s">
        <v>278</v>
      </c>
      <c r="K299" t="s">
        <v>279</v>
      </c>
      <c r="L299" t="s">
        <v>277</v>
      </c>
      <c r="M299" t="s">
        <v>151</v>
      </c>
      <c r="N299" t="s">
        <v>30</v>
      </c>
    </row>
    <row r="300" spans="1:14">
      <c r="A300">
        <v>22965450</v>
      </c>
      <c r="B300" t="s">
        <v>324</v>
      </c>
      <c r="C300">
        <v>2013</v>
      </c>
      <c r="D300" t="s">
        <v>325</v>
      </c>
      <c r="E300" t="s">
        <v>77</v>
      </c>
      <c r="F300" t="s">
        <v>64</v>
      </c>
      <c r="G300">
        <v>0</v>
      </c>
      <c r="H300">
        <v>146</v>
      </c>
      <c r="I300" s="1">
        <f t="shared" si="4"/>
        <v>0</v>
      </c>
      <c r="J300" t="s">
        <v>80</v>
      </c>
      <c r="K300" t="s">
        <v>113</v>
      </c>
      <c r="L300" t="s">
        <v>325</v>
      </c>
      <c r="M300" t="s">
        <v>151</v>
      </c>
      <c r="N300" t="s">
        <v>30</v>
      </c>
    </row>
    <row r="301" spans="1:14">
      <c r="A301">
        <v>22999912</v>
      </c>
      <c r="B301" t="s">
        <v>326</v>
      </c>
      <c r="C301">
        <v>2013</v>
      </c>
      <c r="D301" t="s">
        <v>22</v>
      </c>
      <c r="E301" t="s">
        <v>51</v>
      </c>
      <c r="F301" t="s">
        <v>64</v>
      </c>
      <c r="G301">
        <v>232</v>
      </c>
      <c r="H301">
        <v>761</v>
      </c>
      <c r="I301" s="1">
        <f t="shared" si="4"/>
        <v>0.304862023653088</v>
      </c>
      <c r="J301" t="s">
        <v>23</v>
      </c>
      <c r="K301" t="s">
        <v>24</v>
      </c>
      <c r="L301" t="s">
        <v>22</v>
      </c>
      <c r="M301" t="s">
        <v>49</v>
      </c>
      <c r="N301" t="s">
        <v>50</v>
      </c>
    </row>
    <row r="302" spans="1:14">
      <c r="A302">
        <v>23060503</v>
      </c>
      <c r="B302" t="s">
        <v>327</v>
      </c>
      <c r="C302">
        <v>2012</v>
      </c>
      <c r="D302" t="s">
        <v>184</v>
      </c>
      <c r="E302" t="s">
        <v>77</v>
      </c>
      <c r="F302" t="s">
        <v>64</v>
      </c>
      <c r="G302">
        <v>0</v>
      </c>
      <c r="H302">
        <v>5</v>
      </c>
      <c r="I302" s="1">
        <f t="shared" si="4"/>
        <v>0</v>
      </c>
      <c r="J302" t="s">
        <v>55</v>
      </c>
      <c r="K302" t="s">
        <v>56</v>
      </c>
      <c r="L302" t="s">
        <v>184</v>
      </c>
      <c r="M302" t="s">
        <v>328</v>
      </c>
      <c r="N302" t="s">
        <v>50</v>
      </c>
    </row>
    <row r="303" spans="1:14">
      <c r="A303">
        <v>23082533</v>
      </c>
      <c r="B303" t="s">
        <v>329</v>
      </c>
      <c r="C303">
        <v>2012</v>
      </c>
      <c r="D303" t="s">
        <v>124</v>
      </c>
      <c r="E303" t="s">
        <v>77</v>
      </c>
      <c r="F303" t="s">
        <v>64</v>
      </c>
      <c r="G303">
        <v>1</v>
      </c>
      <c r="H303">
        <v>51</v>
      </c>
      <c r="I303" s="1">
        <f t="shared" si="4"/>
        <v>0.0196078431372549</v>
      </c>
      <c r="J303" t="s">
        <v>125</v>
      </c>
      <c r="K303" t="s">
        <v>126</v>
      </c>
      <c r="L303" t="s">
        <v>124</v>
      </c>
      <c r="M303" t="s">
        <v>330</v>
      </c>
      <c r="N303" t="s">
        <v>30</v>
      </c>
    </row>
    <row r="304" spans="1:14">
      <c r="A304">
        <v>23104589</v>
      </c>
      <c r="B304" t="s">
        <v>331</v>
      </c>
      <c r="C304">
        <v>2012</v>
      </c>
      <c r="D304" t="s">
        <v>332</v>
      </c>
      <c r="E304" t="s">
        <v>77</v>
      </c>
      <c r="F304" t="s">
        <v>64</v>
      </c>
      <c r="G304">
        <v>3</v>
      </c>
      <c r="H304">
        <v>3</v>
      </c>
      <c r="I304" s="1">
        <f t="shared" si="4"/>
        <v>1</v>
      </c>
      <c r="J304" t="s">
        <v>172</v>
      </c>
      <c r="K304" t="s">
        <v>173</v>
      </c>
      <c r="L304" t="s">
        <v>332</v>
      </c>
      <c r="M304" t="s">
        <v>160</v>
      </c>
      <c r="N304" t="s">
        <v>50</v>
      </c>
    </row>
    <row r="305" spans="1:14">
      <c r="A305">
        <v>23104589</v>
      </c>
      <c r="B305" t="s">
        <v>331</v>
      </c>
      <c r="C305">
        <v>2012</v>
      </c>
      <c r="D305" t="s">
        <v>333</v>
      </c>
      <c r="E305" t="s">
        <v>77</v>
      </c>
      <c r="F305" t="s">
        <v>64</v>
      </c>
      <c r="G305">
        <v>3</v>
      </c>
      <c r="H305">
        <v>3</v>
      </c>
      <c r="I305" s="1">
        <f t="shared" si="4"/>
        <v>1</v>
      </c>
      <c r="J305" t="s">
        <v>172</v>
      </c>
      <c r="K305" t="s">
        <v>173</v>
      </c>
      <c r="L305" t="s">
        <v>333</v>
      </c>
      <c r="M305" t="s">
        <v>160</v>
      </c>
      <c r="N305" t="s">
        <v>50</v>
      </c>
    </row>
    <row r="306" spans="1:14">
      <c r="A306">
        <v>23201241</v>
      </c>
      <c r="B306" t="s">
        <v>334</v>
      </c>
      <c r="C306">
        <v>2013</v>
      </c>
      <c r="D306" t="s">
        <v>110</v>
      </c>
      <c r="E306" t="s">
        <v>51</v>
      </c>
      <c r="F306" t="s">
        <v>64</v>
      </c>
      <c r="G306">
        <v>3</v>
      </c>
      <c r="H306">
        <v>32</v>
      </c>
      <c r="I306" s="1">
        <f t="shared" si="4"/>
        <v>0.09375</v>
      </c>
      <c r="J306" t="s">
        <v>43</v>
      </c>
      <c r="K306" t="s">
        <v>44</v>
      </c>
      <c r="L306" t="s">
        <v>110</v>
      </c>
      <c r="M306" t="s">
        <v>75</v>
      </c>
      <c r="N306" t="s">
        <v>50</v>
      </c>
    </row>
    <row r="307" spans="1:14">
      <c r="A307">
        <v>23201293</v>
      </c>
      <c r="B307" t="s">
        <v>335</v>
      </c>
      <c r="C307">
        <v>2013</v>
      </c>
      <c r="D307" t="s">
        <v>45</v>
      </c>
      <c r="E307" t="s">
        <v>48</v>
      </c>
      <c r="F307" t="s">
        <v>41</v>
      </c>
      <c r="G307">
        <v>0</v>
      </c>
      <c r="H307">
        <v>117</v>
      </c>
      <c r="I307" s="1">
        <f t="shared" si="4"/>
        <v>0</v>
      </c>
      <c r="J307" t="s">
        <v>23</v>
      </c>
      <c r="K307" t="s">
        <v>46</v>
      </c>
      <c r="L307" t="s">
        <v>45</v>
      </c>
      <c r="M307" t="s">
        <v>70</v>
      </c>
      <c r="N307" t="s">
        <v>50</v>
      </c>
    </row>
    <row r="308" spans="1:14">
      <c r="A308">
        <v>23201293</v>
      </c>
      <c r="B308" t="s">
        <v>335</v>
      </c>
      <c r="C308">
        <v>2013</v>
      </c>
      <c r="D308" t="s">
        <v>45</v>
      </c>
      <c r="E308" t="s">
        <v>51</v>
      </c>
      <c r="F308" t="s">
        <v>41</v>
      </c>
      <c r="G308">
        <v>0</v>
      </c>
      <c r="H308">
        <v>91</v>
      </c>
      <c r="I308" s="1">
        <f t="shared" si="4"/>
        <v>0</v>
      </c>
      <c r="J308" t="s">
        <v>23</v>
      </c>
      <c r="K308" t="s">
        <v>46</v>
      </c>
      <c r="L308" t="s">
        <v>45</v>
      </c>
      <c r="M308" t="s">
        <v>70</v>
      </c>
      <c r="N308" t="s">
        <v>50</v>
      </c>
    </row>
    <row r="309" spans="1:14">
      <c r="A309">
        <v>23265238</v>
      </c>
      <c r="B309" t="s">
        <v>336</v>
      </c>
      <c r="C309">
        <v>2013</v>
      </c>
      <c r="D309" t="s">
        <v>311</v>
      </c>
      <c r="E309" t="s">
        <v>77</v>
      </c>
      <c r="F309" t="s">
        <v>64</v>
      </c>
      <c r="G309">
        <v>32</v>
      </c>
      <c r="H309">
        <v>63</v>
      </c>
      <c r="I309" s="1">
        <f t="shared" si="4"/>
        <v>0.507936507936508</v>
      </c>
      <c r="J309" t="s">
        <v>35</v>
      </c>
      <c r="K309" t="s">
        <v>107</v>
      </c>
      <c r="L309" t="s">
        <v>311</v>
      </c>
      <c r="M309" t="s">
        <v>78</v>
      </c>
      <c r="N309" t="s">
        <v>50</v>
      </c>
    </row>
    <row r="310" spans="1:14">
      <c r="A310">
        <v>23265238</v>
      </c>
      <c r="B310" t="s">
        <v>336</v>
      </c>
      <c r="C310">
        <v>2013</v>
      </c>
      <c r="D310" t="s">
        <v>337</v>
      </c>
      <c r="E310" t="s">
        <v>77</v>
      </c>
      <c r="F310" t="s">
        <v>64</v>
      </c>
      <c r="G310">
        <v>4</v>
      </c>
      <c r="H310">
        <v>63</v>
      </c>
      <c r="I310" s="1">
        <f t="shared" si="4"/>
        <v>0.0634920634920635</v>
      </c>
      <c r="J310" t="s">
        <v>35</v>
      </c>
      <c r="K310" t="s">
        <v>107</v>
      </c>
      <c r="L310" t="s">
        <v>337</v>
      </c>
      <c r="M310" t="s">
        <v>78</v>
      </c>
      <c r="N310" t="s">
        <v>50</v>
      </c>
    </row>
    <row r="311" spans="1:14">
      <c r="A311">
        <v>23271179</v>
      </c>
      <c r="B311" t="s">
        <v>338</v>
      </c>
      <c r="C311">
        <v>2012</v>
      </c>
      <c r="D311" t="s">
        <v>79</v>
      </c>
      <c r="E311" t="s">
        <v>77</v>
      </c>
      <c r="F311" t="s">
        <v>64</v>
      </c>
      <c r="G311">
        <v>4</v>
      </c>
      <c r="H311">
        <v>267</v>
      </c>
      <c r="I311" s="1">
        <f t="shared" si="4"/>
        <v>0.0149812734082397</v>
      </c>
      <c r="J311" t="s">
        <v>80</v>
      </c>
      <c r="K311" t="s">
        <v>81</v>
      </c>
      <c r="L311" t="s">
        <v>79</v>
      </c>
      <c r="M311" t="s">
        <v>151</v>
      </c>
      <c r="N311" t="s">
        <v>30</v>
      </c>
    </row>
    <row r="312" spans="1:14">
      <c r="A312">
        <v>23307391</v>
      </c>
      <c r="B312" t="s">
        <v>315</v>
      </c>
      <c r="C312">
        <v>2013</v>
      </c>
      <c r="D312" t="s">
        <v>115</v>
      </c>
      <c r="E312" t="s">
        <v>48</v>
      </c>
      <c r="F312" t="s">
        <v>28</v>
      </c>
      <c r="G312">
        <v>16</v>
      </c>
      <c r="H312">
        <v>102</v>
      </c>
      <c r="I312" s="1">
        <f t="shared" si="4"/>
        <v>0.156862745098039</v>
      </c>
      <c r="J312" t="s">
        <v>38</v>
      </c>
      <c r="K312" t="s">
        <v>39</v>
      </c>
      <c r="L312" t="s">
        <v>115</v>
      </c>
      <c r="M312" t="s">
        <v>151</v>
      </c>
      <c r="N312" t="s">
        <v>30</v>
      </c>
    </row>
    <row r="313" spans="1:14">
      <c r="A313">
        <v>23307391</v>
      </c>
      <c r="B313" t="s">
        <v>315</v>
      </c>
      <c r="C313">
        <v>2013</v>
      </c>
      <c r="D313" t="s">
        <v>195</v>
      </c>
      <c r="E313" t="s">
        <v>48</v>
      </c>
      <c r="F313" t="s">
        <v>28</v>
      </c>
      <c r="G313">
        <v>0</v>
      </c>
      <c r="H313">
        <v>102</v>
      </c>
      <c r="I313" s="1">
        <f t="shared" si="4"/>
        <v>0</v>
      </c>
      <c r="J313" t="s">
        <v>85</v>
      </c>
      <c r="K313" t="s">
        <v>86</v>
      </c>
      <c r="L313" t="s">
        <v>195</v>
      </c>
      <c r="M313" t="s">
        <v>151</v>
      </c>
      <c r="N313" t="s">
        <v>30</v>
      </c>
    </row>
    <row r="314" spans="1:14">
      <c r="A314">
        <v>2338721</v>
      </c>
      <c r="B314" t="s">
        <v>339</v>
      </c>
      <c r="C314">
        <v>1990</v>
      </c>
      <c r="D314" t="s">
        <v>45</v>
      </c>
      <c r="E314" t="s">
        <v>16</v>
      </c>
      <c r="F314" t="s">
        <v>41</v>
      </c>
      <c r="G314">
        <v>95</v>
      </c>
      <c r="H314">
        <v>438</v>
      </c>
      <c r="I314" s="1">
        <f t="shared" si="4"/>
        <v>0.21689497716895</v>
      </c>
      <c r="J314" t="s">
        <v>23</v>
      </c>
      <c r="K314" t="s">
        <v>46</v>
      </c>
      <c r="L314" t="s">
        <v>45</v>
      </c>
      <c r="M314" t="s">
        <v>20</v>
      </c>
      <c r="N314" t="s">
        <v>21</v>
      </c>
    </row>
    <row r="315" spans="1:14">
      <c r="A315">
        <v>23394546</v>
      </c>
      <c r="B315" t="s">
        <v>340</v>
      </c>
      <c r="C315">
        <v>2013</v>
      </c>
      <c r="D315" t="s">
        <v>341</v>
      </c>
      <c r="E315" t="s">
        <v>16</v>
      </c>
      <c r="F315" t="s">
        <v>64</v>
      </c>
      <c r="G315">
        <v>9</v>
      </c>
      <c r="H315">
        <v>85</v>
      </c>
      <c r="I315" s="1">
        <f t="shared" si="4"/>
        <v>0.105882352941176</v>
      </c>
      <c r="J315" t="s">
        <v>38</v>
      </c>
      <c r="K315" t="s">
        <v>39</v>
      </c>
      <c r="L315" t="s">
        <v>341</v>
      </c>
      <c r="M315" t="s">
        <v>96</v>
      </c>
      <c r="N315" t="s">
        <v>21</v>
      </c>
    </row>
    <row r="316" spans="1:14">
      <c r="A316">
        <v>23394546</v>
      </c>
      <c r="B316" t="s">
        <v>340</v>
      </c>
      <c r="C316">
        <v>2013</v>
      </c>
      <c r="D316" t="s">
        <v>341</v>
      </c>
      <c r="E316" t="s">
        <v>51</v>
      </c>
      <c r="F316" t="s">
        <v>64</v>
      </c>
      <c r="G316">
        <v>0</v>
      </c>
      <c r="H316">
        <v>25</v>
      </c>
      <c r="I316" s="1">
        <f t="shared" si="4"/>
        <v>0</v>
      </c>
      <c r="J316" t="s">
        <v>38</v>
      </c>
      <c r="K316" t="s">
        <v>39</v>
      </c>
      <c r="L316" t="s">
        <v>341</v>
      </c>
      <c r="M316" t="s">
        <v>96</v>
      </c>
      <c r="N316" t="s">
        <v>21</v>
      </c>
    </row>
    <row r="317" spans="1:14">
      <c r="A317">
        <v>23527182</v>
      </c>
      <c r="B317" t="s">
        <v>342</v>
      </c>
      <c r="C317">
        <v>2013</v>
      </c>
      <c r="D317" t="s">
        <v>15</v>
      </c>
      <c r="E317" t="s">
        <v>51</v>
      </c>
      <c r="F317" t="s">
        <v>64</v>
      </c>
      <c r="G317">
        <v>0</v>
      </c>
      <c r="H317">
        <v>4</v>
      </c>
      <c r="I317" s="1">
        <f t="shared" si="4"/>
        <v>0</v>
      </c>
      <c r="J317" t="s">
        <v>18</v>
      </c>
      <c r="K317" t="s">
        <v>19</v>
      </c>
      <c r="L317" t="s">
        <v>15</v>
      </c>
      <c r="M317" t="s">
        <v>213</v>
      </c>
      <c r="N317" t="s">
        <v>50</v>
      </c>
    </row>
    <row r="318" spans="1:14">
      <c r="A318">
        <v>23527182</v>
      </c>
      <c r="B318" t="s">
        <v>342</v>
      </c>
      <c r="C318">
        <v>2013</v>
      </c>
      <c r="D318" t="s">
        <v>26</v>
      </c>
      <c r="E318" t="s">
        <v>51</v>
      </c>
      <c r="F318" t="s">
        <v>64</v>
      </c>
      <c r="G318">
        <v>0</v>
      </c>
      <c r="H318">
        <v>4</v>
      </c>
      <c r="I318" s="1">
        <f t="shared" si="4"/>
        <v>0</v>
      </c>
      <c r="J318" t="s">
        <v>18</v>
      </c>
      <c r="K318" t="s">
        <v>19</v>
      </c>
      <c r="L318" t="s">
        <v>26</v>
      </c>
      <c r="M318" t="s">
        <v>213</v>
      </c>
      <c r="N318" t="s">
        <v>50</v>
      </c>
    </row>
    <row r="319" spans="1:14">
      <c r="A319">
        <v>23527182</v>
      </c>
      <c r="B319" t="s">
        <v>342</v>
      </c>
      <c r="C319">
        <v>2013</v>
      </c>
      <c r="D319" t="s">
        <v>110</v>
      </c>
      <c r="E319" t="s">
        <v>51</v>
      </c>
      <c r="F319" t="s">
        <v>64</v>
      </c>
      <c r="G319">
        <v>0</v>
      </c>
      <c r="H319">
        <v>4</v>
      </c>
      <c r="I319" s="1">
        <f t="shared" si="4"/>
        <v>0</v>
      </c>
      <c r="J319" t="s">
        <v>43</v>
      </c>
      <c r="K319" t="s">
        <v>44</v>
      </c>
      <c r="L319" t="s">
        <v>110</v>
      </c>
      <c r="M319" t="s">
        <v>213</v>
      </c>
      <c r="N319" t="s">
        <v>50</v>
      </c>
    </row>
    <row r="320" spans="1:14">
      <c r="A320">
        <v>23527182</v>
      </c>
      <c r="B320" t="s">
        <v>342</v>
      </c>
      <c r="C320">
        <v>2013</v>
      </c>
      <c r="D320" t="s">
        <v>195</v>
      </c>
      <c r="E320" t="s">
        <v>51</v>
      </c>
      <c r="F320" t="s">
        <v>64</v>
      </c>
      <c r="G320">
        <v>0</v>
      </c>
      <c r="H320">
        <v>4</v>
      </c>
      <c r="I320" s="1">
        <f t="shared" si="4"/>
        <v>0</v>
      </c>
      <c r="J320" t="s">
        <v>85</v>
      </c>
      <c r="K320" t="s">
        <v>86</v>
      </c>
      <c r="L320" t="s">
        <v>195</v>
      </c>
      <c r="M320" t="s">
        <v>213</v>
      </c>
      <c r="N320" t="s">
        <v>50</v>
      </c>
    </row>
    <row r="321" spans="1:14">
      <c r="A321">
        <v>23527182</v>
      </c>
      <c r="B321" t="s">
        <v>342</v>
      </c>
      <c r="C321">
        <v>2013</v>
      </c>
      <c r="D321" t="s">
        <v>22</v>
      </c>
      <c r="E321" t="s">
        <v>51</v>
      </c>
      <c r="F321" t="s">
        <v>64</v>
      </c>
      <c r="G321">
        <v>0</v>
      </c>
      <c r="H321">
        <v>4</v>
      </c>
      <c r="I321" s="1">
        <f t="shared" si="4"/>
        <v>0</v>
      </c>
      <c r="J321" t="s">
        <v>23</v>
      </c>
      <c r="K321" t="s">
        <v>24</v>
      </c>
      <c r="L321" t="s">
        <v>22</v>
      </c>
      <c r="M321" t="s">
        <v>213</v>
      </c>
      <c r="N321" t="s">
        <v>50</v>
      </c>
    </row>
    <row r="322" spans="1:14">
      <c r="A322">
        <v>23566727</v>
      </c>
      <c r="B322" t="s">
        <v>343</v>
      </c>
      <c r="C322">
        <v>2013</v>
      </c>
      <c r="D322" t="s">
        <v>22</v>
      </c>
      <c r="E322" t="s">
        <v>48</v>
      </c>
      <c r="F322" t="s">
        <v>64</v>
      </c>
      <c r="G322">
        <v>56</v>
      </c>
      <c r="H322">
        <v>108</v>
      </c>
      <c r="I322" s="1">
        <f t="shared" si="4"/>
        <v>0.518518518518518</v>
      </c>
      <c r="J322" t="s">
        <v>23</v>
      </c>
      <c r="K322" t="s">
        <v>24</v>
      </c>
      <c r="L322" t="s">
        <v>22</v>
      </c>
      <c r="M322" t="s">
        <v>29</v>
      </c>
      <c r="N322" t="s">
        <v>30</v>
      </c>
    </row>
    <row r="323" spans="1:14">
      <c r="A323">
        <v>23568913</v>
      </c>
      <c r="B323" t="s">
        <v>344</v>
      </c>
      <c r="C323">
        <v>2013</v>
      </c>
      <c r="D323" t="s">
        <v>195</v>
      </c>
      <c r="E323" t="s">
        <v>77</v>
      </c>
      <c r="F323" t="s">
        <v>137</v>
      </c>
      <c r="G323">
        <v>23</v>
      </c>
      <c r="H323">
        <v>31</v>
      </c>
      <c r="I323" s="1">
        <f t="shared" ref="I323:I386" si="5">G323/H323</f>
        <v>0.741935483870968</v>
      </c>
      <c r="J323" t="s">
        <v>85</v>
      </c>
      <c r="K323" t="s">
        <v>86</v>
      </c>
      <c r="L323" t="s">
        <v>195</v>
      </c>
      <c r="M323" t="s">
        <v>29</v>
      </c>
      <c r="N323" t="s">
        <v>30</v>
      </c>
    </row>
    <row r="324" spans="1:14">
      <c r="A324">
        <v>23616657</v>
      </c>
      <c r="B324" t="s">
        <v>345</v>
      </c>
      <c r="C324">
        <v>2013</v>
      </c>
      <c r="D324" t="s">
        <v>346</v>
      </c>
      <c r="E324" t="s">
        <v>51</v>
      </c>
      <c r="F324" t="s">
        <v>64</v>
      </c>
      <c r="G324">
        <v>2</v>
      </c>
      <c r="H324">
        <v>13</v>
      </c>
      <c r="I324" s="1">
        <f t="shared" si="5"/>
        <v>0.153846153846154</v>
      </c>
      <c r="J324" t="s">
        <v>38</v>
      </c>
      <c r="K324" t="s">
        <v>39</v>
      </c>
      <c r="L324" t="s">
        <v>346</v>
      </c>
      <c r="M324" t="s">
        <v>108</v>
      </c>
      <c r="N324" t="s">
        <v>50</v>
      </c>
    </row>
    <row r="325" spans="1:14">
      <c r="A325">
        <v>23639180</v>
      </c>
      <c r="B325" t="s">
        <v>347</v>
      </c>
      <c r="C325">
        <v>2014</v>
      </c>
      <c r="D325" t="s">
        <v>124</v>
      </c>
      <c r="E325" t="s">
        <v>77</v>
      </c>
      <c r="F325" t="s">
        <v>64</v>
      </c>
      <c r="G325">
        <v>1</v>
      </c>
      <c r="H325">
        <v>25</v>
      </c>
      <c r="I325" s="1">
        <f t="shared" si="5"/>
        <v>0.04</v>
      </c>
      <c r="J325" t="s">
        <v>125</v>
      </c>
      <c r="K325" t="s">
        <v>126</v>
      </c>
      <c r="L325" t="s">
        <v>124</v>
      </c>
      <c r="M325" t="s">
        <v>68</v>
      </c>
      <c r="N325" t="s">
        <v>30</v>
      </c>
    </row>
    <row r="326" spans="1:14">
      <c r="A326">
        <v>23639473</v>
      </c>
      <c r="B326" t="s">
        <v>348</v>
      </c>
      <c r="C326">
        <v>2013</v>
      </c>
      <c r="D326" t="s">
        <v>15</v>
      </c>
      <c r="E326" t="s">
        <v>77</v>
      </c>
      <c r="F326" t="s">
        <v>64</v>
      </c>
      <c r="G326">
        <v>57</v>
      </c>
      <c r="H326">
        <v>179</v>
      </c>
      <c r="I326" s="1">
        <f t="shared" si="5"/>
        <v>0.318435754189944</v>
      </c>
      <c r="J326" t="s">
        <v>18</v>
      </c>
      <c r="K326" t="s">
        <v>19</v>
      </c>
      <c r="L326" t="s">
        <v>15</v>
      </c>
      <c r="M326" t="s">
        <v>349</v>
      </c>
      <c r="N326" t="s">
        <v>350</v>
      </c>
    </row>
    <row r="327" spans="1:14">
      <c r="A327">
        <v>23693084</v>
      </c>
      <c r="B327" t="s">
        <v>351</v>
      </c>
      <c r="C327">
        <v>2013</v>
      </c>
      <c r="D327" t="s">
        <v>230</v>
      </c>
      <c r="E327" t="s">
        <v>167</v>
      </c>
      <c r="F327" t="s">
        <v>64</v>
      </c>
      <c r="G327">
        <v>3</v>
      </c>
      <c r="H327">
        <v>18</v>
      </c>
      <c r="I327" s="1">
        <f t="shared" si="5"/>
        <v>0.166666666666667</v>
      </c>
      <c r="J327" t="s">
        <v>231</v>
      </c>
      <c r="K327" t="s">
        <v>61</v>
      </c>
      <c r="L327" t="s">
        <v>230</v>
      </c>
      <c r="M327" t="s">
        <v>352</v>
      </c>
      <c r="N327" t="s">
        <v>50</v>
      </c>
    </row>
    <row r="328" spans="1:14">
      <c r="A328">
        <v>23693084</v>
      </c>
      <c r="B328" t="s">
        <v>351</v>
      </c>
      <c r="C328">
        <v>2013</v>
      </c>
      <c r="D328" t="s">
        <v>353</v>
      </c>
      <c r="E328" t="s">
        <v>167</v>
      </c>
      <c r="F328" t="s">
        <v>64</v>
      </c>
      <c r="G328">
        <v>0</v>
      </c>
      <c r="H328">
        <v>18</v>
      </c>
      <c r="I328" s="1">
        <f t="shared" si="5"/>
        <v>0</v>
      </c>
      <c r="J328" t="s">
        <v>231</v>
      </c>
      <c r="K328" t="s">
        <v>61</v>
      </c>
      <c r="L328" t="s">
        <v>353</v>
      </c>
      <c r="M328" t="s">
        <v>352</v>
      </c>
      <c r="N328" t="s">
        <v>50</v>
      </c>
    </row>
    <row r="329" spans="1:14">
      <c r="A329">
        <v>23770142</v>
      </c>
      <c r="B329" t="s">
        <v>354</v>
      </c>
      <c r="C329">
        <v>2013</v>
      </c>
      <c r="D329" t="s">
        <v>124</v>
      </c>
      <c r="E329" t="s">
        <v>77</v>
      </c>
      <c r="F329" t="s">
        <v>64</v>
      </c>
      <c r="G329">
        <v>7</v>
      </c>
      <c r="H329">
        <v>144</v>
      </c>
      <c r="I329" s="1">
        <f t="shared" si="5"/>
        <v>0.0486111111111111</v>
      </c>
      <c r="J329" t="s">
        <v>125</v>
      </c>
      <c r="K329" t="s">
        <v>126</v>
      </c>
      <c r="L329" t="s">
        <v>124</v>
      </c>
      <c r="M329" t="s">
        <v>68</v>
      </c>
      <c r="N329" t="s">
        <v>30</v>
      </c>
    </row>
    <row r="330" spans="1:14">
      <c r="A330">
        <v>23778627</v>
      </c>
      <c r="B330" t="s">
        <v>355</v>
      </c>
      <c r="C330">
        <v>2013</v>
      </c>
      <c r="D330" t="s">
        <v>15</v>
      </c>
      <c r="E330" t="s">
        <v>77</v>
      </c>
      <c r="F330" t="s">
        <v>28</v>
      </c>
      <c r="G330">
        <v>1556</v>
      </c>
      <c r="H330">
        <v>8498</v>
      </c>
      <c r="I330" s="1">
        <f t="shared" si="5"/>
        <v>0.183101906330901</v>
      </c>
      <c r="J330" t="s">
        <v>18</v>
      </c>
      <c r="K330" t="s">
        <v>19</v>
      </c>
      <c r="L330" t="s">
        <v>15</v>
      </c>
      <c r="M330" t="s">
        <v>20</v>
      </c>
      <c r="N330" t="s">
        <v>21</v>
      </c>
    </row>
    <row r="331" spans="1:14">
      <c r="A331">
        <v>23821528</v>
      </c>
      <c r="B331" t="s">
        <v>216</v>
      </c>
      <c r="C331">
        <v>2013</v>
      </c>
      <c r="D331" t="s">
        <v>22</v>
      </c>
      <c r="E331" t="s">
        <v>51</v>
      </c>
      <c r="F331" t="s">
        <v>64</v>
      </c>
      <c r="G331">
        <v>3</v>
      </c>
      <c r="H331">
        <v>12</v>
      </c>
      <c r="I331" s="1">
        <f t="shared" si="5"/>
        <v>0.25</v>
      </c>
      <c r="J331" t="s">
        <v>23</v>
      </c>
      <c r="K331" t="s">
        <v>24</v>
      </c>
      <c r="L331" t="s">
        <v>22</v>
      </c>
      <c r="M331" t="s">
        <v>204</v>
      </c>
      <c r="N331" t="s">
        <v>50</v>
      </c>
    </row>
    <row r="332" spans="1:14">
      <c r="A332">
        <v>23830350</v>
      </c>
      <c r="B332" t="s">
        <v>190</v>
      </c>
      <c r="C332">
        <v>2014</v>
      </c>
      <c r="D332" t="s">
        <v>176</v>
      </c>
      <c r="E332" t="s">
        <v>77</v>
      </c>
      <c r="F332" t="s">
        <v>137</v>
      </c>
      <c r="G332">
        <v>0</v>
      </c>
      <c r="H332">
        <v>141</v>
      </c>
      <c r="I332" s="1">
        <f t="shared" si="5"/>
        <v>0</v>
      </c>
      <c r="J332" t="s">
        <v>55</v>
      </c>
      <c r="K332" t="s">
        <v>56</v>
      </c>
      <c r="L332" t="s">
        <v>176</v>
      </c>
      <c r="M332" t="s">
        <v>68</v>
      </c>
      <c r="N332" t="s">
        <v>30</v>
      </c>
    </row>
    <row r="333" spans="1:14">
      <c r="A333">
        <v>23830685</v>
      </c>
      <c r="B333" t="s">
        <v>356</v>
      </c>
      <c r="C333">
        <v>2013</v>
      </c>
      <c r="D333" t="s">
        <v>106</v>
      </c>
      <c r="E333" t="s">
        <v>77</v>
      </c>
      <c r="F333" t="s">
        <v>28</v>
      </c>
      <c r="G333">
        <v>56</v>
      </c>
      <c r="H333">
        <v>812</v>
      </c>
      <c r="I333" s="1">
        <f t="shared" si="5"/>
        <v>0.0689655172413793</v>
      </c>
      <c r="J333" t="s">
        <v>35</v>
      </c>
      <c r="K333" t="s">
        <v>107</v>
      </c>
      <c r="L333" t="s">
        <v>106</v>
      </c>
      <c r="M333" t="s">
        <v>357</v>
      </c>
      <c r="N333" t="s">
        <v>50</v>
      </c>
    </row>
    <row r="334" spans="1:14">
      <c r="A334">
        <v>23865469</v>
      </c>
      <c r="B334" t="s">
        <v>358</v>
      </c>
      <c r="C334">
        <v>2015</v>
      </c>
      <c r="D334" t="s">
        <v>124</v>
      </c>
      <c r="E334" t="s">
        <v>77</v>
      </c>
      <c r="F334" t="s">
        <v>28</v>
      </c>
      <c r="G334">
        <v>0</v>
      </c>
      <c r="H334">
        <v>2211</v>
      </c>
      <c r="I334" s="1">
        <f t="shared" si="5"/>
        <v>0</v>
      </c>
      <c r="J334" t="s">
        <v>125</v>
      </c>
      <c r="K334" t="s">
        <v>126</v>
      </c>
      <c r="L334" t="s">
        <v>124</v>
      </c>
      <c r="M334" t="s">
        <v>75</v>
      </c>
      <c r="N334" t="s">
        <v>50</v>
      </c>
    </row>
    <row r="335" spans="1:14">
      <c r="A335">
        <v>23891170</v>
      </c>
      <c r="B335" t="s">
        <v>359</v>
      </c>
      <c r="C335">
        <v>2013</v>
      </c>
      <c r="D335" t="s">
        <v>83</v>
      </c>
      <c r="E335" t="s">
        <v>77</v>
      </c>
      <c r="F335" t="s">
        <v>64</v>
      </c>
      <c r="G335">
        <v>309</v>
      </c>
      <c r="H335">
        <v>88858</v>
      </c>
      <c r="I335" s="1">
        <f t="shared" si="5"/>
        <v>0.00347745841679984</v>
      </c>
      <c r="J335" t="s">
        <v>55</v>
      </c>
      <c r="K335" t="s">
        <v>56</v>
      </c>
      <c r="L335" t="s">
        <v>83</v>
      </c>
      <c r="M335" t="s">
        <v>70</v>
      </c>
      <c r="N335" t="s">
        <v>50</v>
      </c>
    </row>
    <row r="336" spans="1:14">
      <c r="A336">
        <v>23892145</v>
      </c>
      <c r="B336" t="s">
        <v>360</v>
      </c>
      <c r="C336">
        <v>2013</v>
      </c>
      <c r="D336" t="s">
        <v>306</v>
      </c>
      <c r="E336" t="s">
        <v>167</v>
      </c>
      <c r="F336" t="s">
        <v>64</v>
      </c>
      <c r="G336">
        <v>7</v>
      </c>
      <c r="H336">
        <v>38</v>
      </c>
      <c r="I336" s="1">
        <f t="shared" si="5"/>
        <v>0.184210526315789</v>
      </c>
      <c r="J336" t="s">
        <v>231</v>
      </c>
      <c r="K336" t="s">
        <v>61</v>
      </c>
      <c r="L336" t="s">
        <v>306</v>
      </c>
      <c r="M336" t="s">
        <v>361</v>
      </c>
      <c r="N336" t="s">
        <v>50</v>
      </c>
    </row>
    <row r="337" spans="1:14">
      <c r="A337">
        <v>23958658</v>
      </c>
      <c r="B337" t="s">
        <v>362</v>
      </c>
      <c r="C337">
        <v>2013</v>
      </c>
      <c r="D337" t="s">
        <v>277</v>
      </c>
      <c r="E337" t="s">
        <v>77</v>
      </c>
      <c r="F337" t="s">
        <v>64</v>
      </c>
      <c r="G337">
        <v>4</v>
      </c>
      <c r="H337">
        <v>90</v>
      </c>
      <c r="I337" s="1">
        <f t="shared" si="5"/>
        <v>0.0444444444444444</v>
      </c>
      <c r="J337" t="s">
        <v>278</v>
      </c>
      <c r="K337" t="s">
        <v>279</v>
      </c>
      <c r="L337" t="s">
        <v>277</v>
      </c>
      <c r="M337" t="s">
        <v>68</v>
      </c>
      <c r="N337" t="s">
        <v>30</v>
      </c>
    </row>
    <row r="338" spans="1:14">
      <c r="A338">
        <v>23974935</v>
      </c>
      <c r="B338" t="s">
        <v>317</v>
      </c>
      <c r="C338">
        <v>2013</v>
      </c>
      <c r="D338" t="s">
        <v>93</v>
      </c>
      <c r="E338" t="s">
        <v>77</v>
      </c>
      <c r="F338" t="s">
        <v>28</v>
      </c>
      <c r="G338">
        <v>68</v>
      </c>
      <c r="H338">
        <v>142</v>
      </c>
      <c r="I338" s="1">
        <f t="shared" si="5"/>
        <v>0.47887323943662</v>
      </c>
      <c r="J338" t="s">
        <v>94</v>
      </c>
      <c r="K338" t="s">
        <v>95</v>
      </c>
      <c r="L338" t="s">
        <v>93</v>
      </c>
      <c r="M338" t="s">
        <v>318</v>
      </c>
      <c r="N338" t="s">
        <v>50</v>
      </c>
    </row>
    <row r="339" spans="1:14">
      <c r="A339">
        <v>23974935</v>
      </c>
      <c r="B339" t="s">
        <v>317</v>
      </c>
      <c r="C339">
        <v>2013</v>
      </c>
      <c r="D339" t="s">
        <v>79</v>
      </c>
      <c r="E339" t="s">
        <v>77</v>
      </c>
      <c r="F339" t="s">
        <v>28</v>
      </c>
      <c r="G339">
        <v>1</v>
      </c>
      <c r="H339">
        <v>142</v>
      </c>
      <c r="I339" s="1">
        <f t="shared" si="5"/>
        <v>0.00704225352112676</v>
      </c>
      <c r="J339" t="s">
        <v>80</v>
      </c>
      <c r="K339" t="s">
        <v>81</v>
      </c>
      <c r="L339" t="s">
        <v>79</v>
      </c>
      <c r="M339" t="s">
        <v>318</v>
      </c>
      <c r="N339" t="s">
        <v>50</v>
      </c>
    </row>
    <row r="340" spans="1:14">
      <c r="A340">
        <v>24131722</v>
      </c>
      <c r="B340" t="s">
        <v>363</v>
      </c>
      <c r="C340">
        <v>2014</v>
      </c>
      <c r="D340" t="s">
        <v>364</v>
      </c>
      <c r="E340" t="s">
        <v>131</v>
      </c>
      <c r="F340" t="s">
        <v>64</v>
      </c>
      <c r="G340">
        <v>158</v>
      </c>
      <c r="H340">
        <v>275</v>
      </c>
      <c r="I340" s="1">
        <f t="shared" si="5"/>
        <v>0.574545454545455</v>
      </c>
      <c r="J340" t="s">
        <v>365</v>
      </c>
      <c r="K340" t="s">
        <v>113</v>
      </c>
      <c r="L340" t="s">
        <v>364</v>
      </c>
      <c r="M340" t="s">
        <v>366</v>
      </c>
      <c r="N340" t="s">
        <v>50</v>
      </c>
    </row>
    <row r="341" spans="1:14">
      <c r="A341">
        <v>24171577</v>
      </c>
      <c r="B341" t="s">
        <v>367</v>
      </c>
      <c r="C341">
        <v>2014</v>
      </c>
      <c r="D341" t="s">
        <v>15</v>
      </c>
      <c r="E341" t="s">
        <v>77</v>
      </c>
      <c r="F341" t="s">
        <v>28</v>
      </c>
      <c r="G341">
        <v>1</v>
      </c>
      <c r="H341">
        <v>34</v>
      </c>
      <c r="I341" s="1">
        <f t="shared" si="5"/>
        <v>0.0294117647058824</v>
      </c>
      <c r="J341" t="s">
        <v>18</v>
      </c>
      <c r="K341" t="s">
        <v>19</v>
      </c>
      <c r="L341" t="s">
        <v>15</v>
      </c>
      <c r="M341" t="s">
        <v>20</v>
      </c>
      <c r="N341" t="s">
        <v>21</v>
      </c>
    </row>
    <row r="342" spans="1:14">
      <c r="A342">
        <v>24171857</v>
      </c>
      <c r="B342" t="s">
        <v>368</v>
      </c>
      <c r="C342">
        <v>2013</v>
      </c>
      <c r="D342" t="s">
        <v>93</v>
      </c>
      <c r="E342" t="s">
        <v>77</v>
      </c>
      <c r="F342" t="s">
        <v>64</v>
      </c>
      <c r="G342">
        <v>89</v>
      </c>
      <c r="H342">
        <v>202</v>
      </c>
      <c r="I342" s="1">
        <f t="shared" si="5"/>
        <v>0.440594059405941</v>
      </c>
      <c r="J342" t="s">
        <v>94</v>
      </c>
      <c r="K342" t="s">
        <v>95</v>
      </c>
      <c r="L342" t="s">
        <v>93</v>
      </c>
      <c r="M342" t="s">
        <v>78</v>
      </c>
      <c r="N342" t="s">
        <v>50</v>
      </c>
    </row>
    <row r="343" spans="1:14">
      <c r="A343">
        <v>24224815</v>
      </c>
      <c r="B343" t="s">
        <v>369</v>
      </c>
      <c r="C343">
        <v>2013</v>
      </c>
      <c r="D343" t="s">
        <v>84</v>
      </c>
      <c r="E343" t="s">
        <v>77</v>
      </c>
      <c r="F343" t="s">
        <v>64</v>
      </c>
      <c r="G343">
        <v>90</v>
      </c>
      <c r="H343">
        <v>2331</v>
      </c>
      <c r="I343" s="1">
        <f t="shared" si="5"/>
        <v>0.0386100386100386</v>
      </c>
      <c r="J343" t="s">
        <v>85</v>
      </c>
      <c r="K343" t="s">
        <v>86</v>
      </c>
      <c r="L343" t="s">
        <v>84</v>
      </c>
      <c r="M343" t="s">
        <v>75</v>
      </c>
      <c r="N343" t="s">
        <v>50</v>
      </c>
    </row>
    <row r="344" spans="1:14">
      <c r="A344">
        <v>24238665</v>
      </c>
      <c r="B344" t="s">
        <v>370</v>
      </c>
      <c r="C344">
        <v>2014</v>
      </c>
      <c r="D344" t="s">
        <v>195</v>
      </c>
      <c r="E344" t="s">
        <v>77</v>
      </c>
      <c r="F344" t="s">
        <v>64</v>
      </c>
      <c r="G344">
        <v>11</v>
      </c>
      <c r="H344">
        <v>60</v>
      </c>
      <c r="I344" s="1">
        <f t="shared" si="5"/>
        <v>0.183333333333333</v>
      </c>
      <c r="J344" t="s">
        <v>85</v>
      </c>
      <c r="K344" t="s">
        <v>86</v>
      </c>
      <c r="L344" t="s">
        <v>195</v>
      </c>
      <c r="M344" t="s">
        <v>349</v>
      </c>
      <c r="N344" t="s">
        <v>350</v>
      </c>
    </row>
    <row r="345" spans="1:14">
      <c r="A345">
        <v>24258896</v>
      </c>
      <c r="B345" t="s">
        <v>326</v>
      </c>
      <c r="C345">
        <v>2013</v>
      </c>
      <c r="D345" t="s">
        <v>15</v>
      </c>
      <c r="E345" t="s">
        <v>77</v>
      </c>
      <c r="F345" t="s">
        <v>28</v>
      </c>
      <c r="G345">
        <v>487</v>
      </c>
      <c r="H345">
        <v>7209</v>
      </c>
      <c r="I345" s="1">
        <f t="shared" si="5"/>
        <v>0.0675544458315994</v>
      </c>
      <c r="J345" t="s">
        <v>18</v>
      </c>
      <c r="K345" t="s">
        <v>19</v>
      </c>
      <c r="L345" t="s">
        <v>15</v>
      </c>
      <c r="M345" t="s">
        <v>49</v>
      </c>
      <c r="N345" t="s">
        <v>50</v>
      </c>
    </row>
    <row r="346" spans="1:14">
      <c r="A346">
        <v>24274262</v>
      </c>
      <c r="B346" t="s">
        <v>371</v>
      </c>
      <c r="C346">
        <v>2013</v>
      </c>
      <c r="D346" t="s">
        <v>71</v>
      </c>
      <c r="E346" t="s">
        <v>167</v>
      </c>
      <c r="F346" t="s">
        <v>41</v>
      </c>
      <c r="G346">
        <v>1</v>
      </c>
      <c r="H346">
        <v>5</v>
      </c>
      <c r="I346" s="1">
        <f t="shared" si="5"/>
        <v>0.2</v>
      </c>
      <c r="J346" t="s">
        <v>245</v>
      </c>
      <c r="K346" t="s">
        <v>72</v>
      </c>
      <c r="L346" t="s">
        <v>71</v>
      </c>
      <c r="M346" t="s">
        <v>366</v>
      </c>
      <c r="N346" t="s">
        <v>50</v>
      </c>
    </row>
    <row r="347" spans="1:14">
      <c r="A347">
        <v>24370869</v>
      </c>
      <c r="B347" t="s">
        <v>269</v>
      </c>
      <c r="C347">
        <v>2014</v>
      </c>
      <c r="D347" t="s">
        <v>124</v>
      </c>
      <c r="E347" t="s">
        <v>77</v>
      </c>
      <c r="F347" t="s">
        <v>64</v>
      </c>
      <c r="G347">
        <v>24</v>
      </c>
      <c r="H347">
        <v>566</v>
      </c>
      <c r="I347" s="1">
        <f t="shared" si="5"/>
        <v>0.0424028268551237</v>
      </c>
      <c r="J347" t="s">
        <v>125</v>
      </c>
      <c r="K347" t="s">
        <v>126</v>
      </c>
      <c r="L347" t="s">
        <v>124</v>
      </c>
      <c r="M347" t="s">
        <v>68</v>
      </c>
      <c r="N347" t="s">
        <v>30</v>
      </c>
    </row>
    <row r="348" spans="1:14">
      <c r="A348">
        <v>24452667</v>
      </c>
      <c r="B348" t="s">
        <v>372</v>
      </c>
      <c r="C348">
        <v>2014</v>
      </c>
      <c r="D348" t="s">
        <v>115</v>
      </c>
      <c r="E348" t="s">
        <v>51</v>
      </c>
      <c r="F348" t="s">
        <v>64</v>
      </c>
      <c r="G348">
        <v>0</v>
      </c>
      <c r="H348">
        <v>34</v>
      </c>
      <c r="I348" s="1">
        <f t="shared" si="5"/>
        <v>0</v>
      </c>
      <c r="J348" t="s">
        <v>38</v>
      </c>
      <c r="K348" t="s">
        <v>39</v>
      </c>
      <c r="L348" t="s">
        <v>115</v>
      </c>
      <c r="M348" t="s">
        <v>75</v>
      </c>
      <c r="N348" t="s">
        <v>50</v>
      </c>
    </row>
    <row r="349" spans="1:14">
      <c r="A349">
        <v>24452667</v>
      </c>
      <c r="B349" t="s">
        <v>372</v>
      </c>
      <c r="C349">
        <v>2014</v>
      </c>
      <c r="D349" t="s">
        <v>15</v>
      </c>
      <c r="E349" t="s">
        <v>51</v>
      </c>
      <c r="F349" t="s">
        <v>64</v>
      </c>
      <c r="G349">
        <v>5</v>
      </c>
      <c r="H349">
        <v>34</v>
      </c>
      <c r="I349" s="1">
        <f t="shared" si="5"/>
        <v>0.147058823529412</v>
      </c>
      <c r="J349" t="s">
        <v>18</v>
      </c>
      <c r="K349" t="s">
        <v>19</v>
      </c>
      <c r="L349" t="s">
        <v>15</v>
      </c>
      <c r="M349" t="s">
        <v>75</v>
      </c>
      <c r="N349" t="s">
        <v>50</v>
      </c>
    </row>
    <row r="350" spans="1:14">
      <c r="A350">
        <v>24452667</v>
      </c>
      <c r="B350" t="s">
        <v>372</v>
      </c>
      <c r="C350">
        <v>2014</v>
      </c>
      <c r="D350" t="s">
        <v>373</v>
      </c>
      <c r="E350" t="s">
        <v>51</v>
      </c>
      <c r="F350" t="s">
        <v>64</v>
      </c>
      <c r="G350">
        <v>0</v>
      </c>
      <c r="H350">
        <v>34</v>
      </c>
      <c r="I350" s="1">
        <f t="shared" si="5"/>
        <v>0</v>
      </c>
      <c r="J350" t="s">
        <v>35</v>
      </c>
      <c r="K350" t="s">
        <v>36</v>
      </c>
      <c r="L350" t="s">
        <v>373</v>
      </c>
      <c r="M350" t="s">
        <v>75</v>
      </c>
      <c r="N350" t="s">
        <v>50</v>
      </c>
    </row>
    <row r="351" spans="1:14">
      <c r="A351">
        <v>24452667</v>
      </c>
      <c r="B351" t="s">
        <v>372</v>
      </c>
      <c r="C351">
        <v>2014</v>
      </c>
      <c r="D351" t="s">
        <v>112</v>
      </c>
      <c r="E351" t="s">
        <v>51</v>
      </c>
      <c r="F351" t="s">
        <v>64</v>
      </c>
      <c r="G351">
        <v>2</v>
      </c>
      <c r="H351">
        <v>34</v>
      </c>
      <c r="I351" s="1">
        <f t="shared" si="5"/>
        <v>0.0588235294117647</v>
      </c>
      <c r="J351" t="s">
        <v>80</v>
      </c>
      <c r="K351" t="s">
        <v>113</v>
      </c>
      <c r="L351" t="s">
        <v>112</v>
      </c>
      <c r="M351" t="s">
        <v>75</v>
      </c>
      <c r="N351" t="s">
        <v>50</v>
      </c>
    </row>
    <row r="352" spans="1:14">
      <c r="A352">
        <v>24480584</v>
      </c>
      <c r="B352" t="s">
        <v>374</v>
      </c>
      <c r="C352">
        <v>2014</v>
      </c>
      <c r="D352" t="s">
        <v>93</v>
      </c>
      <c r="E352" t="s">
        <v>77</v>
      </c>
      <c r="F352" t="s">
        <v>64</v>
      </c>
      <c r="G352">
        <v>91</v>
      </c>
      <c r="H352">
        <v>1825</v>
      </c>
      <c r="I352" s="1">
        <f t="shared" si="5"/>
        <v>0.0498630136986301</v>
      </c>
      <c r="J352" t="s">
        <v>94</v>
      </c>
      <c r="K352" t="s">
        <v>95</v>
      </c>
      <c r="L352" t="s">
        <v>93</v>
      </c>
      <c r="M352" t="s">
        <v>151</v>
      </c>
      <c r="N352" t="s">
        <v>30</v>
      </c>
    </row>
    <row r="353" spans="1:14">
      <c r="A353">
        <v>24499160</v>
      </c>
      <c r="B353" t="s">
        <v>375</v>
      </c>
      <c r="C353">
        <v>2014</v>
      </c>
      <c r="D353" t="s">
        <v>124</v>
      </c>
      <c r="E353" t="s">
        <v>77</v>
      </c>
      <c r="F353" t="s">
        <v>28</v>
      </c>
      <c r="G353">
        <v>38</v>
      </c>
      <c r="H353">
        <v>303</v>
      </c>
      <c r="I353" s="1">
        <f t="shared" si="5"/>
        <v>0.125412541254125</v>
      </c>
      <c r="J353" t="s">
        <v>125</v>
      </c>
      <c r="K353" t="s">
        <v>126</v>
      </c>
      <c r="L353" t="s">
        <v>124</v>
      </c>
      <c r="M353" t="s">
        <v>290</v>
      </c>
      <c r="N353" t="s">
        <v>50</v>
      </c>
    </row>
    <row r="354" spans="1:14">
      <c r="A354">
        <v>24506423</v>
      </c>
      <c r="B354" t="s">
        <v>376</v>
      </c>
      <c r="C354">
        <v>2014</v>
      </c>
      <c r="D354" t="s">
        <v>124</v>
      </c>
      <c r="E354" t="s">
        <v>77</v>
      </c>
      <c r="F354" t="s">
        <v>64</v>
      </c>
      <c r="G354">
        <v>5</v>
      </c>
      <c r="H354">
        <v>183</v>
      </c>
      <c r="I354" s="1">
        <f t="shared" si="5"/>
        <v>0.0273224043715847</v>
      </c>
      <c r="J354" t="s">
        <v>125</v>
      </c>
      <c r="K354" t="s">
        <v>126</v>
      </c>
      <c r="L354" t="s">
        <v>124</v>
      </c>
      <c r="M354" t="s">
        <v>68</v>
      </c>
      <c r="N354" t="s">
        <v>30</v>
      </c>
    </row>
    <row r="355" spans="1:14">
      <c r="A355">
        <v>24557751</v>
      </c>
      <c r="B355" t="s">
        <v>377</v>
      </c>
      <c r="C355">
        <v>2014</v>
      </c>
      <c r="D355" t="s">
        <v>45</v>
      </c>
      <c r="E355" t="s">
        <v>16</v>
      </c>
      <c r="F355" t="s">
        <v>41</v>
      </c>
      <c r="G355">
        <v>0</v>
      </c>
      <c r="H355">
        <v>2</v>
      </c>
      <c r="I355" s="1">
        <f t="shared" si="5"/>
        <v>0</v>
      </c>
      <c r="J355" t="s">
        <v>23</v>
      </c>
      <c r="K355" t="s">
        <v>46</v>
      </c>
      <c r="L355" t="s">
        <v>45</v>
      </c>
      <c r="M355" t="s">
        <v>20</v>
      </c>
      <c r="N355" t="s">
        <v>21</v>
      </c>
    </row>
    <row r="356" spans="1:14">
      <c r="A356">
        <v>24643862</v>
      </c>
      <c r="B356" t="s">
        <v>378</v>
      </c>
      <c r="C356">
        <v>2014</v>
      </c>
      <c r="D356" t="s">
        <v>45</v>
      </c>
      <c r="E356" t="s">
        <v>51</v>
      </c>
      <c r="F356" t="s">
        <v>41</v>
      </c>
      <c r="G356">
        <v>18</v>
      </c>
      <c r="H356">
        <v>20</v>
      </c>
      <c r="I356" s="1">
        <f t="shared" si="5"/>
        <v>0.9</v>
      </c>
      <c r="J356" t="s">
        <v>23</v>
      </c>
      <c r="K356" t="s">
        <v>46</v>
      </c>
      <c r="L356" t="s">
        <v>45</v>
      </c>
      <c r="M356" t="s">
        <v>96</v>
      </c>
      <c r="N356" t="s">
        <v>21</v>
      </c>
    </row>
    <row r="357" spans="1:14">
      <c r="A357">
        <v>24699636</v>
      </c>
      <c r="B357" t="s">
        <v>379</v>
      </c>
      <c r="C357">
        <v>2014</v>
      </c>
      <c r="D357" t="s">
        <v>71</v>
      </c>
      <c r="E357" t="s">
        <v>167</v>
      </c>
      <c r="F357" t="s">
        <v>64</v>
      </c>
      <c r="G357">
        <v>0</v>
      </c>
      <c r="H357">
        <v>16</v>
      </c>
      <c r="I357" s="1">
        <f t="shared" si="5"/>
        <v>0</v>
      </c>
      <c r="J357" t="s">
        <v>245</v>
      </c>
      <c r="K357" t="s">
        <v>72</v>
      </c>
      <c r="L357" t="s">
        <v>71</v>
      </c>
      <c r="M357" t="s">
        <v>366</v>
      </c>
      <c r="N357" t="s">
        <v>50</v>
      </c>
    </row>
    <row r="358" spans="1:14">
      <c r="A358">
        <v>24731929</v>
      </c>
      <c r="B358" t="s">
        <v>335</v>
      </c>
      <c r="C358">
        <v>2014</v>
      </c>
      <c r="D358" t="s">
        <v>45</v>
      </c>
      <c r="E358" t="s">
        <v>51</v>
      </c>
      <c r="F358" t="s">
        <v>28</v>
      </c>
      <c r="G358">
        <v>2</v>
      </c>
      <c r="H358">
        <v>152</v>
      </c>
      <c r="I358" s="1">
        <f t="shared" si="5"/>
        <v>0.0131578947368421</v>
      </c>
      <c r="J358" t="s">
        <v>23</v>
      </c>
      <c r="K358" t="s">
        <v>46</v>
      </c>
      <c r="L358" t="s">
        <v>45</v>
      </c>
      <c r="M358" t="s">
        <v>70</v>
      </c>
      <c r="N358" t="s">
        <v>50</v>
      </c>
    </row>
    <row r="359" spans="1:14">
      <c r="A359">
        <v>24731929</v>
      </c>
      <c r="B359" t="s">
        <v>335</v>
      </c>
      <c r="C359">
        <v>2014</v>
      </c>
      <c r="D359" t="s">
        <v>45</v>
      </c>
      <c r="E359" t="s">
        <v>48</v>
      </c>
      <c r="F359" t="s">
        <v>41</v>
      </c>
      <c r="G359">
        <v>0</v>
      </c>
      <c r="H359">
        <v>30</v>
      </c>
      <c r="I359" s="1">
        <f t="shared" si="5"/>
        <v>0</v>
      </c>
      <c r="J359" t="s">
        <v>23</v>
      </c>
      <c r="K359" t="s">
        <v>46</v>
      </c>
      <c r="L359" t="s">
        <v>45</v>
      </c>
      <c r="M359" t="s">
        <v>70</v>
      </c>
      <c r="N359" t="s">
        <v>50</v>
      </c>
    </row>
    <row r="360" spans="1:14">
      <c r="A360">
        <v>24779458</v>
      </c>
      <c r="B360" t="s">
        <v>380</v>
      </c>
      <c r="C360">
        <v>2014</v>
      </c>
      <c r="D360" t="s">
        <v>15</v>
      </c>
      <c r="E360" t="s">
        <v>77</v>
      </c>
      <c r="F360" t="s">
        <v>64</v>
      </c>
      <c r="G360">
        <v>34</v>
      </c>
      <c r="H360">
        <v>139</v>
      </c>
      <c r="I360" s="1">
        <f t="shared" si="5"/>
        <v>0.244604316546763</v>
      </c>
      <c r="J360" t="s">
        <v>18</v>
      </c>
      <c r="K360" t="s">
        <v>19</v>
      </c>
      <c r="L360" t="s">
        <v>15</v>
      </c>
      <c r="M360" t="s">
        <v>75</v>
      </c>
      <c r="N360" t="s">
        <v>50</v>
      </c>
    </row>
    <row r="361" spans="1:14">
      <c r="A361">
        <v>24807360</v>
      </c>
      <c r="B361" t="s">
        <v>381</v>
      </c>
      <c r="C361">
        <v>2014</v>
      </c>
      <c r="D361" t="s">
        <v>45</v>
      </c>
      <c r="E361" t="s">
        <v>48</v>
      </c>
      <c r="F361" t="s">
        <v>64</v>
      </c>
      <c r="G361">
        <v>3</v>
      </c>
      <c r="H361">
        <v>3</v>
      </c>
      <c r="I361" s="1">
        <f t="shared" si="5"/>
        <v>1</v>
      </c>
      <c r="J361" t="s">
        <v>23</v>
      </c>
      <c r="K361" t="s">
        <v>46</v>
      </c>
      <c r="L361" t="s">
        <v>45</v>
      </c>
      <c r="M361" t="s">
        <v>151</v>
      </c>
      <c r="N361" t="s">
        <v>30</v>
      </c>
    </row>
    <row r="362" spans="1:14">
      <c r="A362">
        <v>24818620</v>
      </c>
      <c r="B362" t="s">
        <v>382</v>
      </c>
      <c r="C362">
        <v>2014</v>
      </c>
      <c r="D362" t="s">
        <v>195</v>
      </c>
      <c r="E362" t="s">
        <v>16</v>
      </c>
      <c r="F362" t="s">
        <v>64</v>
      </c>
      <c r="G362">
        <v>4</v>
      </c>
      <c r="H362">
        <v>260</v>
      </c>
      <c r="I362" s="1">
        <f t="shared" si="5"/>
        <v>0.0153846153846154</v>
      </c>
      <c r="J362" t="s">
        <v>85</v>
      </c>
      <c r="K362" t="s">
        <v>86</v>
      </c>
      <c r="L362" t="s">
        <v>195</v>
      </c>
      <c r="M362" t="s">
        <v>68</v>
      </c>
      <c r="N362" t="s">
        <v>30</v>
      </c>
    </row>
    <row r="363" spans="1:14">
      <c r="A363">
        <v>24991567</v>
      </c>
      <c r="B363" t="s">
        <v>383</v>
      </c>
      <c r="C363">
        <v>2014</v>
      </c>
      <c r="D363" t="s">
        <v>93</v>
      </c>
      <c r="E363" t="s">
        <v>77</v>
      </c>
      <c r="F363" t="s">
        <v>28</v>
      </c>
      <c r="G363">
        <v>185</v>
      </c>
      <c r="H363">
        <v>216</v>
      </c>
      <c r="I363" s="1">
        <f t="shared" si="5"/>
        <v>0.856481481481482</v>
      </c>
      <c r="J363" t="s">
        <v>94</v>
      </c>
      <c r="K363" t="s">
        <v>95</v>
      </c>
      <c r="L363" t="s">
        <v>93</v>
      </c>
      <c r="M363" t="s">
        <v>78</v>
      </c>
      <c r="N363" t="s">
        <v>50</v>
      </c>
    </row>
    <row r="364" spans="1:14">
      <c r="A364">
        <v>24997334</v>
      </c>
      <c r="B364" t="s">
        <v>384</v>
      </c>
      <c r="C364">
        <v>2014</v>
      </c>
      <c r="D364" t="s">
        <v>230</v>
      </c>
      <c r="E364" t="s">
        <v>167</v>
      </c>
      <c r="F364" t="s">
        <v>64</v>
      </c>
      <c r="G364">
        <v>22</v>
      </c>
      <c r="H364">
        <v>134</v>
      </c>
      <c r="I364" s="1">
        <f t="shared" si="5"/>
        <v>0.164179104477612</v>
      </c>
      <c r="J364" t="s">
        <v>231</v>
      </c>
      <c r="K364" t="s">
        <v>61</v>
      </c>
      <c r="L364" t="s">
        <v>230</v>
      </c>
      <c r="M364" t="s">
        <v>169</v>
      </c>
      <c r="N364" t="s">
        <v>50</v>
      </c>
    </row>
    <row r="365" spans="1:14">
      <c r="A365">
        <v>24997334</v>
      </c>
      <c r="B365" t="s">
        <v>384</v>
      </c>
      <c r="C365">
        <v>2014</v>
      </c>
      <c r="D365" t="s">
        <v>385</v>
      </c>
      <c r="E365" t="s">
        <v>167</v>
      </c>
      <c r="F365" t="s">
        <v>64</v>
      </c>
      <c r="G365">
        <v>2</v>
      </c>
      <c r="H365">
        <v>134</v>
      </c>
      <c r="I365" s="1">
        <f t="shared" si="5"/>
        <v>0.0149253731343284</v>
      </c>
      <c r="J365" t="s">
        <v>231</v>
      </c>
      <c r="K365" t="s">
        <v>61</v>
      </c>
      <c r="L365" t="s">
        <v>385</v>
      </c>
      <c r="M365" t="s">
        <v>169</v>
      </c>
      <c r="N365" t="s">
        <v>50</v>
      </c>
    </row>
    <row r="366" spans="1:14">
      <c r="A366">
        <v>25113988</v>
      </c>
      <c r="B366" t="s">
        <v>386</v>
      </c>
      <c r="C366">
        <v>2014</v>
      </c>
      <c r="D366" t="s">
        <v>53</v>
      </c>
      <c r="E366" t="s">
        <v>77</v>
      </c>
      <c r="F366" t="s">
        <v>28</v>
      </c>
      <c r="G366">
        <v>190</v>
      </c>
      <c r="H366">
        <v>1851</v>
      </c>
      <c r="I366" s="1">
        <f t="shared" si="5"/>
        <v>0.102647217720151</v>
      </c>
      <c r="J366" t="s">
        <v>55</v>
      </c>
      <c r="K366" t="s">
        <v>56</v>
      </c>
      <c r="L366" t="s">
        <v>53</v>
      </c>
      <c r="M366" t="s">
        <v>49</v>
      </c>
      <c r="N366" t="s">
        <v>50</v>
      </c>
    </row>
    <row r="367" spans="1:14">
      <c r="A367">
        <v>25253065</v>
      </c>
      <c r="B367" t="s">
        <v>387</v>
      </c>
      <c r="C367">
        <v>2015</v>
      </c>
      <c r="D367" t="s">
        <v>22</v>
      </c>
      <c r="E367" t="s">
        <v>27</v>
      </c>
      <c r="F367" t="s">
        <v>64</v>
      </c>
      <c r="G367">
        <v>1</v>
      </c>
      <c r="H367">
        <v>1</v>
      </c>
      <c r="I367" s="1">
        <f t="shared" si="5"/>
        <v>1</v>
      </c>
      <c r="J367" t="s">
        <v>23</v>
      </c>
      <c r="K367" t="s">
        <v>24</v>
      </c>
      <c r="L367" t="s">
        <v>22</v>
      </c>
      <c r="M367" t="s">
        <v>330</v>
      </c>
      <c r="N367" t="s">
        <v>30</v>
      </c>
    </row>
    <row r="368" spans="1:14">
      <c r="A368">
        <v>25258173</v>
      </c>
      <c r="B368" t="s">
        <v>388</v>
      </c>
      <c r="C368">
        <v>2014</v>
      </c>
      <c r="D368" t="s">
        <v>22</v>
      </c>
      <c r="E368" t="s">
        <v>16</v>
      </c>
      <c r="F368" t="s">
        <v>64</v>
      </c>
      <c r="G368">
        <v>74</v>
      </c>
      <c r="H368">
        <v>97</v>
      </c>
      <c r="I368" s="1">
        <f t="shared" si="5"/>
        <v>0.762886597938144</v>
      </c>
      <c r="J368" t="s">
        <v>23</v>
      </c>
      <c r="K368" t="s">
        <v>24</v>
      </c>
      <c r="L368" t="s">
        <v>22</v>
      </c>
      <c r="M368" t="s">
        <v>49</v>
      </c>
      <c r="N368" t="s">
        <v>50</v>
      </c>
    </row>
    <row r="369" spans="1:14">
      <c r="A369">
        <v>25280431</v>
      </c>
      <c r="B369" t="s">
        <v>389</v>
      </c>
      <c r="C369">
        <v>2014</v>
      </c>
      <c r="D369" t="s">
        <v>45</v>
      </c>
      <c r="E369" t="s">
        <v>51</v>
      </c>
      <c r="F369" t="s">
        <v>64</v>
      </c>
      <c r="G369">
        <v>1</v>
      </c>
      <c r="H369">
        <v>1</v>
      </c>
      <c r="I369" s="1">
        <f t="shared" si="5"/>
        <v>1</v>
      </c>
      <c r="J369" t="s">
        <v>23</v>
      </c>
      <c r="K369" t="s">
        <v>46</v>
      </c>
      <c r="L369" t="s">
        <v>45</v>
      </c>
      <c r="M369" t="s">
        <v>318</v>
      </c>
      <c r="N369" t="s">
        <v>50</v>
      </c>
    </row>
    <row r="370" spans="1:14">
      <c r="A370">
        <v>25280431</v>
      </c>
      <c r="B370" t="s">
        <v>389</v>
      </c>
      <c r="C370">
        <v>2014</v>
      </c>
      <c r="D370" t="s">
        <v>45</v>
      </c>
      <c r="E370" t="s">
        <v>48</v>
      </c>
      <c r="F370" t="s">
        <v>64</v>
      </c>
      <c r="G370">
        <v>1</v>
      </c>
      <c r="H370">
        <v>1</v>
      </c>
      <c r="I370" s="1">
        <f t="shared" si="5"/>
        <v>1</v>
      </c>
      <c r="J370" t="s">
        <v>23</v>
      </c>
      <c r="K370" t="s">
        <v>46</v>
      </c>
      <c r="L370" t="s">
        <v>45</v>
      </c>
      <c r="M370" t="s">
        <v>318</v>
      </c>
      <c r="N370" t="s">
        <v>50</v>
      </c>
    </row>
    <row r="371" spans="1:14">
      <c r="A371">
        <v>25283611</v>
      </c>
      <c r="B371" t="s">
        <v>390</v>
      </c>
      <c r="C371">
        <v>2015</v>
      </c>
      <c r="D371" t="s">
        <v>124</v>
      </c>
      <c r="E371" t="s">
        <v>77</v>
      </c>
      <c r="F371" t="s">
        <v>64</v>
      </c>
      <c r="G371">
        <v>12</v>
      </c>
      <c r="H371">
        <v>307</v>
      </c>
      <c r="I371" s="1">
        <f t="shared" si="5"/>
        <v>0.0390879478827362</v>
      </c>
      <c r="J371" t="s">
        <v>125</v>
      </c>
      <c r="K371" t="s">
        <v>126</v>
      </c>
      <c r="L371" t="s">
        <v>124</v>
      </c>
      <c r="M371" t="s">
        <v>75</v>
      </c>
      <c r="N371" t="s">
        <v>50</v>
      </c>
    </row>
    <row r="372" spans="1:14">
      <c r="A372">
        <v>25287630</v>
      </c>
      <c r="B372" t="s">
        <v>391</v>
      </c>
      <c r="C372">
        <v>2014</v>
      </c>
      <c r="D372" t="s">
        <v>124</v>
      </c>
      <c r="E372" t="s">
        <v>77</v>
      </c>
      <c r="F372" t="s">
        <v>64</v>
      </c>
      <c r="G372">
        <v>18</v>
      </c>
      <c r="H372">
        <v>124</v>
      </c>
      <c r="I372" s="1">
        <f t="shared" si="5"/>
        <v>0.145161290322581</v>
      </c>
      <c r="J372" t="s">
        <v>125</v>
      </c>
      <c r="K372" t="s">
        <v>126</v>
      </c>
      <c r="L372" t="s">
        <v>124</v>
      </c>
      <c r="M372" t="s">
        <v>49</v>
      </c>
      <c r="N372" t="s">
        <v>50</v>
      </c>
    </row>
    <row r="373" spans="1:14">
      <c r="A373">
        <v>25298239</v>
      </c>
      <c r="B373" t="s">
        <v>392</v>
      </c>
      <c r="C373">
        <v>2015</v>
      </c>
      <c r="D373" t="s">
        <v>84</v>
      </c>
      <c r="E373" t="s">
        <v>77</v>
      </c>
      <c r="F373" t="s">
        <v>137</v>
      </c>
      <c r="G373">
        <v>12</v>
      </c>
      <c r="H373">
        <v>1011</v>
      </c>
      <c r="I373" s="1">
        <f t="shared" si="5"/>
        <v>0.0118694362017804</v>
      </c>
      <c r="J373" t="s">
        <v>85</v>
      </c>
      <c r="K373" t="s">
        <v>86</v>
      </c>
      <c r="L373" t="s">
        <v>84</v>
      </c>
      <c r="M373" t="s">
        <v>151</v>
      </c>
      <c r="N373" t="s">
        <v>30</v>
      </c>
    </row>
    <row r="374" spans="1:14">
      <c r="A374">
        <v>25350002</v>
      </c>
      <c r="B374" t="s">
        <v>368</v>
      </c>
      <c r="C374">
        <v>2014</v>
      </c>
      <c r="D374" t="s">
        <v>93</v>
      </c>
      <c r="E374" t="s">
        <v>77</v>
      </c>
      <c r="F374" t="s">
        <v>28</v>
      </c>
      <c r="G374">
        <v>117</v>
      </c>
      <c r="H374">
        <v>165</v>
      </c>
      <c r="I374" s="1">
        <f t="shared" si="5"/>
        <v>0.709090909090909</v>
      </c>
      <c r="J374" t="s">
        <v>94</v>
      </c>
      <c r="K374" t="s">
        <v>95</v>
      </c>
      <c r="L374" t="s">
        <v>93</v>
      </c>
      <c r="M374" t="s">
        <v>78</v>
      </c>
      <c r="N374" t="s">
        <v>50</v>
      </c>
    </row>
    <row r="375" spans="1:14">
      <c r="A375">
        <v>25350002</v>
      </c>
      <c r="B375" t="s">
        <v>368</v>
      </c>
      <c r="C375">
        <v>2014</v>
      </c>
      <c r="D375" t="s">
        <v>15</v>
      </c>
      <c r="E375" t="s">
        <v>77</v>
      </c>
      <c r="F375" t="s">
        <v>28</v>
      </c>
      <c r="G375">
        <v>115</v>
      </c>
      <c r="H375">
        <v>165</v>
      </c>
      <c r="I375" s="1">
        <f t="shared" si="5"/>
        <v>0.696969696969697</v>
      </c>
      <c r="J375" t="s">
        <v>18</v>
      </c>
      <c r="K375" t="s">
        <v>19</v>
      </c>
      <c r="L375" t="s">
        <v>15</v>
      </c>
      <c r="M375" t="s">
        <v>78</v>
      </c>
      <c r="N375" t="s">
        <v>50</v>
      </c>
    </row>
    <row r="376" spans="1:14">
      <c r="A376">
        <v>25350002</v>
      </c>
      <c r="B376" t="s">
        <v>368</v>
      </c>
      <c r="C376">
        <v>2014</v>
      </c>
      <c r="D376" t="s">
        <v>79</v>
      </c>
      <c r="E376" t="s">
        <v>77</v>
      </c>
      <c r="F376" t="s">
        <v>28</v>
      </c>
      <c r="G376">
        <v>0</v>
      </c>
      <c r="H376">
        <v>165</v>
      </c>
      <c r="I376" s="1">
        <f t="shared" si="5"/>
        <v>0</v>
      </c>
      <c r="J376" t="s">
        <v>80</v>
      </c>
      <c r="K376" t="s">
        <v>81</v>
      </c>
      <c r="L376" t="s">
        <v>79</v>
      </c>
      <c r="M376" t="s">
        <v>78</v>
      </c>
      <c r="N376" t="s">
        <v>50</v>
      </c>
    </row>
    <row r="377" spans="1:14">
      <c r="A377">
        <v>25350002</v>
      </c>
      <c r="B377" t="s">
        <v>368</v>
      </c>
      <c r="C377">
        <v>2014</v>
      </c>
      <c r="D377" t="s">
        <v>84</v>
      </c>
      <c r="E377" t="s">
        <v>77</v>
      </c>
      <c r="F377" t="s">
        <v>28</v>
      </c>
      <c r="G377">
        <v>40</v>
      </c>
      <c r="H377">
        <v>165</v>
      </c>
      <c r="I377" s="1">
        <f t="shared" si="5"/>
        <v>0.242424242424242</v>
      </c>
      <c r="J377" t="s">
        <v>85</v>
      </c>
      <c r="K377" t="s">
        <v>86</v>
      </c>
      <c r="L377" t="s">
        <v>84</v>
      </c>
      <c r="M377" t="s">
        <v>78</v>
      </c>
      <c r="N377" t="s">
        <v>50</v>
      </c>
    </row>
    <row r="378" spans="1:14">
      <c r="A378">
        <v>25380357</v>
      </c>
      <c r="B378" t="s">
        <v>393</v>
      </c>
      <c r="C378">
        <v>2015</v>
      </c>
      <c r="D378" t="s">
        <v>93</v>
      </c>
      <c r="E378" t="s">
        <v>77</v>
      </c>
      <c r="F378" t="s">
        <v>64</v>
      </c>
      <c r="G378">
        <v>216</v>
      </c>
      <c r="H378">
        <v>344</v>
      </c>
      <c r="I378" s="1">
        <f t="shared" si="5"/>
        <v>0.627906976744186</v>
      </c>
      <c r="J378" t="s">
        <v>94</v>
      </c>
      <c r="K378" t="s">
        <v>95</v>
      </c>
      <c r="L378" t="s">
        <v>93</v>
      </c>
      <c r="M378" t="s">
        <v>20</v>
      </c>
      <c r="N378" t="s">
        <v>21</v>
      </c>
    </row>
    <row r="379" spans="1:14">
      <c r="A379">
        <v>25380357</v>
      </c>
      <c r="B379" t="s">
        <v>393</v>
      </c>
      <c r="C379">
        <v>2015</v>
      </c>
      <c r="D379" t="s">
        <v>84</v>
      </c>
      <c r="E379" t="s">
        <v>77</v>
      </c>
      <c r="F379" t="s">
        <v>64</v>
      </c>
      <c r="G379">
        <v>26</v>
      </c>
      <c r="H379">
        <v>344</v>
      </c>
      <c r="I379" s="1">
        <f t="shared" si="5"/>
        <v>0.0755813953488372</v>
      </c>
      <c r="J379" t="s">
        <v>85</v>
      </c>
      <c r="K379" t="s">
        <v>86</v>
      </c>
      <c r="L379" t="s">
        <v>84</v>
      </c>
      <c r="M379" t="s">
        <v>20</v>
      </c>
      <c r="N379" t="s">
        <v>21</v>
      </c>
    </row>
    <row r="380" spans="1:14">
      <c r="A380">
        <v>25380357</v>
      </c>
      <c r="B380" t="s">
        <v>393</v>
      </c>
      <c r="C380">
        <v>2015</v>
      </c>
      <c r="D380" t="s">
        <v>79</v>
      </c>
      <c r="E380" t="s">
        <v>77</v>
      </c>
      <c r="F380" t="s">
        <v>64</v>
      </c>
      <c r="G380">
        <v>20</v>
      </c>
      <c r="H380">
        <v>344</v>
      </c>
      <c r="I380" s="1">
        <f t="shared" si="5"/>
        <v>0.0581395348837209</v>
      </c>
      <c r="J380" t="s">
        <v>80</v>
      </c>
      <c r="K380" t="s">
        <v>81</v>
      </c>
      <c r="L380" t="s">
        <v>79</v>
      </c>
      <c r="M380" t="s">
        <v>20</v>
      </c>
      <c r="N380" t="s">
        <v>21</v>
      </c>
    </row>
    <row r="381" spans="1:14">
      <c r="A381">
        <v>25417672</v>
      </c>
      <c r="B381" t="s">
        <v>256</v>
      </c>
      <c r="C381">
        <v>2014</v>
      </c>
      <c r="D381" t="s">
        <v>22</v>
      </c>
      <c r="E381" t="s">
        <v>48</v>
      </c>
      <c r="F381" t="s">
        <v>64</v>
      </c>
      <c r="G381">
        <v>0</v>
      </c>
      <c r="H381">
        <v>29</v>
      </c>
      <c r="I381" s="1">
        <f t="shared" si="5"/>
        <v>0</v>
      </c>
      <c r="J381" t="s">
        <v>23</v>
      </c>
      <c r="K381" t="s">
        <v>24</v>
      </c>
      <c r="L381" t="s">
        <v>22</v>
      </c>
      <c r="M381" t="s">
        <v>29</v>
      </c>
      <c r="N381" t="s">
        <v>30</v>
      </c>
    </row>
    <row r="382" spans="1:14">
      <c r="A382">
        <v>25417672</v>
      </c>
      <c r="B382" t="s">
        <v>256</v>
      </c>
      <c r="C382">
        <v>2014</v>
      </c>
      <c r="D382" t="s">
        <v>394</v>
      </c>
      <c r="E382" t="s">
        <v>48</v>
      </c>
      <c r="F382" t="s">
        <v>64</v>
      </c>
      <c r="G382">
        <v>26</v>
      </c>
      <c r="H382">
        <v>43</v>
      </c>
      <c r="I382" s="1">
        <f t="shared" si="5"/>
        <v>0.604651162790698</v>
      </c>
      <c r="J382" t="s">
        <v>38</v>
      </c>
      <c r="K382" t="s">
        <v>39</v>
      </c>
      <c r="L382" t="s">
        <v>394</v>
      </c>
      <c r="M382" t="s">
        <v>29</v>
      </c>
      <c r="N382" t="s">
        <v>30</v>
      </c>
    </row>
    <row r="383" spans="1:14">
      <c r="A383">
        <v>25417672</v>
      </c>
      <c r="B383" t="s">
        <v>256</v>
      </c>
      <c r="C383">
        <v>2014</v>
      </c>
      <c r="D383" t="s">
        <v>115</v>
      </c>
      <c r="E383" t="s">
        <v>48</v>
      </c>
      <c r="F383" t="s">
        <v>64</v>
      </c>
      <c r="G383">
        <v>2</v>
      </c>
      <c r="H383">
        <v>29</v>
      </c>
      <c r="I383" s="1">
        <f t="shared" si="5"/>
        <v>0.0689655172413793</v>
      </c>
      <c r="J383" t="s">
        <v>38</v>
      </c>
      <c r="K383" t="s">
        <v>39</v>
      </c>
      <c r="L383" t="s">
        <v>115</v>
      </c>
      <c r="M383" t="s">
        <v>29</v>
      </c>
      <c r="N383" t="s">
        <v>30</v>
      </c>
    </row>
    <row r="384" spans="1:14">
      <c r="A384">
        <v>25445646</v>
      </c>
      <c r="B384" t="s">
        <v>351</v>
      </c>
      <c r="C384">
        <v>2014</v>
      </c>
      <c r="D384" t="s">
        <v>395</v>
      </c>
      <c r="E384" t="s">
        <v>167</v>
      </c>
      <c r="F384" t="s">
        <v>64</v>
      </c>
      <c r="G384">
        <v>0</v>
      </c>
      <c r="H384">
        <v>53</v>
      </c>
      <c r="I384" s="1">
        <f t="shared" si="5"/>
        <v>0</v>
      </c>
      <c r="J384" t="s">
        <v>231</v>
      </c>
      <c r="K384" t="s">
        <v>61</v>
      </c>
      <c r="L384" t="s">
        <v>395</v>
      </c>
      <c r="M384" t="s">
        <v>352</v>
      </c>
      <c r="N384" t="s">
        <v>50</v>
      </c>
    </row>
    <row r="385" spans="1:14">
      <c r="A385">
        <v>25445646</v>
      </c>
      <c r="B385" t="s">
        <v>351</v>
      </c>
      <c r="C385">
        <v>2014</v>
      </c>
      <c r="D385" t="s">
        <v>353</v>
      </c>
      <c r="E385" t="s">
        <v>167</v>
      </c>
      <c r="F385" t="s">
        <v>64</v>
      </c>
      <c r="G385">
        <v>0</v>
      </c>
      <c r="H385">
        <v>53</v>
      </c>
      <c r="I385" s="1">
        <f t="shared" si="5"/>
        <v>0</v>
      </c>
      <c r="J385" t="s">
        <v>231</v>
      </c>
      <c r="K385" t="s">
        <v>61</v>
      </c>
      <c r="L385" t="s">
        <v>353</v>
      </c>
      <c r="M385" t="s">
        <v>352</v>
      </c>
      <c r="N385" t="s">
        <v>50</v>
      </c>
    </row>
    <row r="386" spans="1:14">
      <c r="A386">
        <v>25445646</v>
      </c>
      <c r="B386" t="s">
        <v>351</v>
      </c>
      <c r="C386">
        <v>2014</v>
      </c>
      <c r="D386" t="s">
        <v>230</v>
      </c>
      <c r="E386" t="s">
        <v>167</v>
      </c>
      <c r="F386" t="s">
        <v>64</v>
      </c>
      <c r="G386">
        <v>6</v>
      </c>
      <c r="H386">
        <v>53</v>
      </c>
      <c r="I386" s="1">
        <f t="shared" si="5"/>
        <v>0.113207547169811</v>
      </c>
      <c r="J386" t="s">
        <v>231</v>
      </c>
      <c r="K386" t="s">
        <v>61</v>
      </c>
      <c r="L386" t="s">
        <v>230</v>
      </c>
      <c r="M386" t="s">
        <v>352</v>
      </c>
      <c r="N386" t="s">
        <v>50</v>
      </c>
    </row>
    <row r="387" spans="1:14">
      <c r="A387">
        <v>25518724</v>
      </c>
      <c r="B387" t="s">
        <v>396</v>
      </c>
      <c r="C387">
        <v>2014</v>
      </c>
      <c r="D387" t="s">
        <v>93</v>
      </c>
      <c r="E387" t="s">
        <v>77</v>
      </c>
      <c r="F387" t="s">
        <v>64</v>
      </c>
      <c r="G387">
        <v>13</v>
      </c>
      <c r="H387">
        <v>51</v>
      </c>
      <c r="I387" s="1">
        <f t="shared" ref="I387:I450" si="6">G387/H387</f>
        <v>0.254901960784314</v>
      </c>
      <c r="J387" t="s">
        <v>94</v>
      </c>
      <c r="K387" t="s">
        <v>95</v>
      </c>
      <c r="L387" t="s">
        <v>93</v>
      </c>
      <c r="M387" t="s">
        <v>397</v>
      </c>
      <c r="N387" t="s">
        <v>50</v>
      </c>
    </row>
    <row r="388" spans="1:14">
      <c r="A388">
        <v>2554001</v>
      </c>
      <c r="B388" t="s">
        <v>398</v>
      </c>
      <c r="C388">
        <v>1989</v>
      </c>
      <c r="D388" t="s">
        <v>15</v>
      </c>
      <c r="E388" t="s">
        <v>77</v>
      </c>
      <c r="F388" t="s">
        <v>17</v>
      </c>
      <c r="G388">
        <v>55</v>
      </c>
      <c r="H388">
        <v>661</v>
      </c>
      <c r="I388" s="1">
        <f t="shared" si="6"/>
        <v>0.0832072617246596</v>
      </c>
      <c r="J388" t="s">
        <v>18</v>
      </c>
      <c r="K388" t="s">
        <v>19</v>
      </c>
      <c r="L388" t="s">
        <v>15</v>
      </c>
      <c r="M388" t="s">
        <v>20</v>
      </c>
      <c r="N388" t="s">
        <v>21</v>
      </c>
    </row>
    <row r="389" spans="1:14">
      <c r="A389">
        <v>25571944</v>
      </c>
      <c r="B389" t="s">
        <v>399</v>
      </c>
      <c r="C389">
        <v>2016</v>
      </c>
      <c r="D389" t="s">
        <v>124</v>
      </c>
      <c r="E389" t="s">
        <v>77</v>
      </c>
      <c r="F389" t="s">
        <v>64</v>
      </c>
      <c r="G389">
        <v>16</v>
      </c>
      <c r="H389">
        <v>158</v>
      </c>
      <c r="I389" s="1">
        <f t="shared" si="6"/>
        <v>0.10126582278481</v>
      </c>
      <c r="J389" t="s">
        <v>125</v>
      </c>
      <c r="K389" t="s">
        <v>126</v>
      </c>
      <c r="L389" t="s">
        <v>124</v>
      </c>
      <c r="M389" t="s">
        <v>78</v>
      </c>
      <c r="N389" t="s">
        <v>50</v>
      </c>
    </row>
    <row r="390" spans="1:14">
      <c r="A390">
        <v>25638980</v>
      </c>
      <c r="B390" t="s">
        <v>400</v>
      </c>
      <c r="C390">
        <v>2014</v>
      </c>
      <c r="D390" t="s">
        <v>249</v>
      </c>
      <c r="E390" t="s">
        <v>77</v>
      </c>
      <c r="F390" t="s">
        <v>64</v>
      </c>
      <c r="G390">
        <v>32</v>
      </c>
      <c r="H390">
        <v>8609</v>
      </c>
      <c r="I390" s="1">
        <f t="shared" si="6"/>
        <v>0.00371704030665583</v>
      </c>
      <c r="J390" t="s">
        <v>250</v>
      </c>
      <c r="K390" t="s">
        <v>251</v>
      </c>
      <c r="L390" t="s">
        <v>249</v>
      </c>
      <c r="M390" t="s">
        <v>318</v>
      </c>
      <c r="N390" t="s">
        <v>50</v>
      </c>
    </row>
    <row r="391" spans="1:14">
      <c r="A391">
        <v>25647590</v>
      </c>
      <c r="B391" t="s">
        <v>401</v>
      </c>
      <c r="C391">
        <v>2015</v>
      </c>
      <c r="D391" t="s">
        <v>341</v>
      </c>
      <c r="E391" t="s">
        <v>16</v>
      </c>
      <c r="F391" t="s">
        <v>54</v>
      </c>
      <c r="G391">
        <v>0</v>
      </c>
      <c r="H391">
        <v>304</v>
      </c>
      <c r="I391" s="1">
        <f t="shared" si="6"/>
        <v>0</v>
      </c>
      <c r="J391" t="s">
        <v>38</v>
      </c>
      <c r="K391" t="s">
        <v>39</v>
      </c>
      <c r="L391" t="s">
        <v>341</v>
      </c>
      <c r="M391" t="s">
        <v>96</v>
      </c>
      <c r="N391" t="s">
        <v>21</v>
      </c>
    </row>
    <row r="392" spans="1:14">
      <c r="A392">
        <v>25673913</v>
      </c>
      <c r="B392" t="s">
        <v>402</v>
      </c>
      <c r="C392">
        <v>2015</v>
      </c>
      <c r="D392" t="s">
        <v>93</v>
      </c>
      <c r="E392" t="s">
        <v>77</v>
      </c>
      <c r="F392" t="s">
        <v>64</v>
      </c>
      <c r="G392">
        <v>41</v>
      </c>
      <c r="H392">
        <v>162</v>
      </c>
      <c r="I392" s="1">
        <f t="shared" si="6"/>
        <v>0.253086419753086</v>
      </c>
      <c r="J392" t="s">
        <v>94</v>
      </c>
      <c r="K392" t="s">
        <v>95</v>
      </c>
      <c r="L392" t="s">
        <v>93</v>
      </c>
      <c r="M392" t="s">
        <v>20</v>
      </c>
      <c r="N392" t="s">
        <v>21</v>
      </c>
    </row>
    <row r="393" spans="1:14">
      <c r="A393">
        <v>25673913</v>
      </c>
      <c r="B393" t="s">
        <v>402</v>
      </c>
      <c r="C393">
        <v>2015</v>
      </c>
      <c r="D393" t="s">
        <v>79</v>
      </c>
      <c r="E393" t="s">
        <v>77</v>
      </c>
      <c r="F393" t="s">
        <v>64</v>
      </c>
      <c r="G393">
        <v>4</v>
      </c>
      <c r="H393">
        <v>160</v>
      </c>
      <c r="I393" s="1">
        <f t="shared" si="6"/>
        <v>0.025</v>
      </c>
      <c r="J393" t="s">
        <v>80</v>
      </c>
      <c r="K393" t="s">
        <v>81</v>
      </c>
      <c r="L393" t="s">
        <v>79</v>
      </c>
      <c r="M393" t="s">
        <v>20</v>
      </c>
      <c r="N393" t="s">
        <v>21</v>
      </c>
    </row>
    <row r="394" spans="1:14">
      <c r="A394">
        <v>25724332</v>
      </c>
      <c r="B394" t="s">
        <v>403</v>
      </c>
      <c r="C394">
        <v>2015</v>
      </c>
      <c r="D394" t="s">
        <v>57</v>
      </c>
      <c r="E394" t="s">
        <v>77</v>
      </c>
      <c r="F394" t="s">
        <v>28</v>
      </c>
      <c r="G394">
        <v>56</v>
      </c>
      <c r="H394">
        <v>318</v>
      </c>
      <c r="I394" s="1">
        <f t="shared" si="6"/>
        <v>0.176100628930818</v>
      </c>
      <c r="J394" t="s">
        <v>55</v>
      </c>
      <c r="K394" t="s">
        <v>56</v>
      </c>
      <c r="L394" t="s">
        <v>57</v>
      </c>
      <c r="M394" t="s">
        <v>404</v>
      </c>
      <c r="N394" t="s">
        <v>50</v>
      </c>
    </row>
    <row r="395" spans="1:14">
      <c r="A395">
        <v>25774434</v>
      </c>
      <c r="B395" t="s">
        <v>405</v>
      </c>
      <c r="C395">
        <v>2015</v>
      </c>
      <c r="D395" t="s">
        <v>15</v>
      </c>
      <c r="E395" t="s">
        <v>77</v>
      </c>
      <c r="F395" t="s">
        <v>28</v>
      </c>
      <c r="G395">
        <v>115</v>
      </c>
      <c r="H395">
        <v>359</v>
      </c>
      <c r="I395" s="1">
        <f t="shared" si="6"/>
        <v>0.32033426183844</v>
      </c>
      <c r="J395" t="s">
        <v>18</v>
      </c>
      <c r="K395" t="s">
        <v>19</v>
      </c>
      <c r="L395" t="s">
        <v>15</v>
      </c>
      <c r="M395" t="s">
        <v>204</v>
      </c>
      <c r="N395" t="s">
        <v>50</v>
      </c>
    </row>
    <row r="396" spans="1:14">
      <c r="A396">
        <v>25774434</v>
      </c>
      <c r="B396" t="s">
        <v>405</v>
      </c>
      <c r="C396">
        <v>2015</v>
      </c>
      <c r="D396" t="s">
        <v>249</v>
      </c>
      <c r="E396" t="s">
        <v>77</v>
      </c>
      <c r="F396" t="s">
        <v>28</v>
      </c>
      <c r="G396">
        <v>0</v>
      </c>
      <c r="H396">
        <v>357</v>
      </c>
      <c r="I396" s="1">
        <f t="shared" si="6"/>
        <v>0</v>
      </c>
      <c r="J396" t="s">
        <v>250</v>
      </c>
      <c r="K396" t="s">
        <v>251</v>
      </c>
      <c r="L396" t="s">
        <v>249</v>
      </c>
      <c r="M396" t="s">
        <v>204</v>
      </c>
      <c r="N396" t="s">
        <v>50</v>
      </c>
    </row>
    <row r="397" spans="1:14">
      <c r="A397">
        <v>25774434</v>
      </c>
      <c r="B397" t="s">
        <v>405</v>
      </c>
      <c r="C397">
        <v>2015</v>
      </c>
      <c r="D397" t="s">
        <v>83</v>
      </c>
      <c r="E397" t="s">
        <v>77</v>
      </c>
      <c r="F397" t="s">
        <v>28</v>
      </c>
      <c r="G397">
        <v>0</v>
      </c>
      <c r="H397">
        <v>357</v>
      </c>
      <c r="I397" s="1">
        <f t="shared" si="6"/>
        <v>0</v>
      </c>
      <c r="J397" t="s">
        <v>55</v>
      </c>
      <c r="K397" t="s">
        <v>56</v>
      </c>
      <c r="L397" t="s">
        <v>83</v>
      </c>
      <c r="M397" t="s">
        <v>204</v>
      </c>
      <c r="N397" t="s">
        <v>50</v>
      </c>
    </row>
    <row r="398" spans="1:14">
      <c r="A398">
        <v>25774434</v>
      </c>
      <c r="B398" t="s">
        <v>405</v>
      </c>
      <c r="C398">
        <v>2015</v>
      </c>
      <c r="D398" t="s">
        <v>79</v>
      </c>
      <c r="E398" t="s">
        <v>77</v>
      </c>
      <c r="F398" t="s">
        <v>28</v>
      </c>
      <c r="G398">
        <v>18</v>
      </c>
      <c r="H398">
        <v>321</v>
      </c>
      <c r="I398" s="1">
        <f t="shared" si="6"/>
        <v>0.0560747663551402</v>
      </c>
      <c r="J398" t="s">
        <v>80</v>
      </c>
      <c r="K398" t="s">
        <v>81</v>
      </c>
      <c r="L398" t="s">
        <v>79</v>
      </c>
      <c r="M398" t="s">
        <v>204</v>
      </c>
      <c r="N398" t="s">
        <v>50</v>
      </c>
    </row>
    <row r="399" spans="1:14">
      <c r="A399">
        <v>25792048</v>
      </c>
      <c r="B399" t="s">
        <v>406</v>
      </c>
      <c r="C399">
        <v>2015</v>
      </c>
      <c r="D399" t="s">
        <v>407</v>
      </c>
      <c r="E399" t="s">
        <v>51</v>
      </c>
      <c r="F399" t="s">
        <v>64</v>
      </c>
      <c r="G399">
        <v>1</v>
      </c>
      <c r="H399">
        <v>1</v>
      </c>
      <c r="I399" s="1">
        <f t="shared" si="6"/>
        <v>1</v>
      </c>
      <c r="J399" t="s">
        <v>143</v>
      </c>
      <c r="K399" t="s">
        <v>144</v>
      </c>
      <c r="L399" t="s">
        <v>407</v>
      </c>
      <c r="M399" t="s">
        <v>49</v>
      </c>
      <c r="N399" t="s">
        <v>50</v>
      </c>
    </row>
    <row r="400" spans="1:14">
      <c r="A400">
        <v>25888836</v>
      </c>
      <c r="B400" t="s">
        <v>408</v>
      </c>
      <c r="C400">
        <v>2015</v>
      </c>
      <c r="D400" t="s">
        <v>15</v>
      </c>
      <c r="E400" t="s">
        <v>77</v>
      </c>
      <c r="F400" t="s">
        <v>17</v>
      </c>
      <c r="G400">
        <v>47</v>
      </c>
      <c r="H400">
        <v>481</v>
      </c>
      <c r="I400" s="1">
        <f t="shared" si="6"/>
        <v>0.0977130977130977</v>
      </c>
      <c r="J400" t="s">
        <v>18</v>
      </c>
      <c r="K400" t="s">
        <v>19</v>
      </c>
      <c r="L400" t="s">
        <v>15</v>
      </c>
      <c r="M400" t="s">
        <v>151</v>
      </c>
      <c r="N400" t="s">
        <v>30</v>
      </c>
    </row>
    <row r="401" spans="1:14">
      <c r="A401">
        <v>25888836</v>
      </c>
      <c r="B401" t="s">
        <v>408</v>
      </c>
      <c r="C401">
        <v>2015</v>
      </c>
      <c r="D401" t="s">
        <v>82</v>
      </c>
      <c r="E401" t="s">
        <v>77</v>
      </c>
      <c r="F401" t="s">
        <v>137</v>
      </c>
      <c r="G401">
        <v>142</v>
      </c>
      <c r="H401">
        <v>481</v>
      </c>
      <c r="I401" s="1">
        <f t="shared" si="6"/>
        <v>0.295218295218295</v>
      </c>
      <c r="J401" t="s">
        <v>38</v>
      </c>
      <c r="K401" t="s">
        <v>39</v>
      </c>
      <c r="L401" t="s">
        <v>82</v>
      </c>
      <c r="M401" t="s">
        <v>151</v>
      </c>
      <c r="N401" t="s">
        <v>30</v>
      </c>
    </row>
    <row r="402" spans="1:14">
      <c r="A402">
        <v>25888836</v>
      </c>
      <c r="B402" t="s">
        <v>408</v>
      </c>
      <c r="C402">
        <v>2015</v>
      </c>
      <c r="D402" t="s">
        <v>181</v>
      </c>
      <c r="E402" t="s">
        <v>77</v>
      </c>
      <c r="F402" t="s">
        <v>17</v>
      </c>
      <c r="G402">
        <v>37</v>
      </c>
      <c r="H402">
        <v>481</v>
      </c>
      <c r="I402" s="1">
        <f t="shared" si="6"/>
        <v>0.0769230769230769</v>
      </c>
      <c r="J402" t="s">
        <v>35</v>
      </c>
      <c r="K402" t="s">
        <v>107</v>
      </c>
      <c r="L402" t="s">
        <v>181</v>
      </c>
      <c r="M402" t="s">
        <v>151</v>
      </c>
      <c r="N402" t="s">
        <v>30</v>
      </c>
    </row>
    <row r="403" spans="1:14">
      <c r="A403">
        <v>25973618</v>
      </c>
      <c r="B403" t="s">
        <v>409</v>
      </c>
      <c r="C403">
        <v>2015</v>
      </c>
      <c r="D403" t="s">
        <v>410</v>
      </c>
      <c r="E403" t="s">
        <v>77</v>
      </c>
      <c r="F403" t="s">
        <v>64</v>
      </c>
      <c r="G403">
        <v>85</v>
      </c>
      <c r="H403">
        <v>194</v>
      </c>
      <c r="I403" s="1">
        <f t="shared" si="6"/>
        <v>0.438144329896907</v>
      </c>
      <c r="J403" t="s">
        <v>38</v>
      </c>
      <c r="K403" t="s">
        <v>39</v>
      </c>
      <c r="L403" t="s">
        <v>410</v>
      </c>
      <c r="M403" t="s">
        <v>397</v>
      </c>
      <c r="N403" t="s">
        <v>50</v>
      </c>
    </row>
    <row r="404" spans="1:14">
      <c r="A404">
        <v>25973618</v>
      </c>
      <c r="B404" t="s">
        <v>409</v>
      </c>
      <c r="C404">
        <v>2015</v>
      </c>
      <c r="D404" t="s">
        <v>263</v>
      </c>
      <c r="E404" t="s">
        <v>77</v>
      </c>
      <c r="F404" t="s">
        <v>64</v>
      </c>
      <c r="G404">
        <v>37</v>
      </c>
      <c r="H404">
        <v>194</v>
      </c>
      <c r="I404" s="1">
        <f t="shared" si="6"/>
        <v>0.190721649484536</v>
      </c>
      <c r="J404" t="s">
        <v>38</v>
      </c>
      <c r="K404" t="s">
        <v>39</v>
      </c>
      <c r="L404" t="s">
        <v>263</v>
      </c>
      <c r="M404" t="s">
        <v>397</v>
      </c>
      <c r="N404" t="s">
        <v>50</v>
      </c>
    </row>
    <row r="405" spans="1:14">
      <c r="A405">
        <v>25973631</v>
      </c>
      <c r="B405" t="s">
        <v>411</v>
      </c>
      <c r="C405">
        <v>2015</v>
      </c>
      <c r="D405" t="s">
        <v>115</v>
      </c>
      <c r="E405" t="s">
        <v>16</v>
      </c>
      <c r="F405" t="s">
        <v>54</v>
      </c>
      <c r="G405">
        <v>22</v>
      </c>
      <c r="H405">
        <v>70</v>
      </c>
      <c r="I405" s="1">
        <f t="shared" si="6"/>
        <v>0.314285714285714</v>
      </c>
      <c r="J405" t="s">
        <v>38</v>
      </c>
      <c r="K405" t="s">
        <v>39</v>
      </c>
      <c r="L405" t="s">
        <v>115</v>
      </c>
      <c r="M405" t="s">
        <v>20</v>
      </c>
      <c r="N405" t="s">
        <v>21</v>
      </c>
    </row>
    <row r="406" spans="1:14">
      <c r="A406">
        <v>25973631</v>
      </c>
      <c r="B406" t="s">
        <v>411</v>
      </c>
      <c r="C406">
        <v>2015</v>
      </c>
      <c r="D406" t="s">
        <v>115</v>
      </c>
      <c r="E406" t="s">
        <v>16</v>
      </c>
      <c r="F406" t="s">
        <v>137</v>
      </c>
      <c r="G406">
        <v>33</v>
      </c>
      <c r="H406">
        <v>70</v>
      </c>
      <c r="I406" s="1">
        <f t="shared" si="6"/>
        <v>0.471428571428571</v>
      </c>
      <c r="J406" t="s">
        <v>38</v>
      </c>
      <c r="K406" t="s">
        <v>39</v>
      </c>
      <c r="L406" t="s">
        <v>115</v>
      </c>
      <c r="M406" t="s">
        <v>20</v>
      </c>
      <c r="N406" t="s">
        <v>21</v>
      </c>
    </row>
    <row r="407" spans="1:14">
      <c r="A407">
        <v>25973631</v>
      </c>
      <c r="B407" t="s">
        <v>411</v>
      </c>
      <c r="C407">
        <v>2015</v>
      </c>
      <c r="D407" t="s">
        <v>22</v>
      </c>
      <c r="E407" t="s">
        <v>16</v>
      </c>
      <c r="F407" t="s">
        <v>17</v>
      </c>
      <c r="G407">
        <v>17</v>
      </c>
      <c r="H407">
        <v>29</v>
      </c>
      <c r="I407" s="1">
        <f t="shared" si="6"/>
        <v>0.586206896551724</v>
      </c>
      <c r="J407" t="s">
        <v>23</v>
      </c>
      <c r="K407" t="s">
        <v>24</v>
      </c>
      <c r="L407" t="s">
        <v>22</v>
      </c>
      <c r="M407" t="s">
        <v>20</v>
      </c>
      <c r="N407" t="s">
        <v>21</v>
      </c>
    </row>
    <row r="408" spans="1:14">
      <c r="A408">
        <v>25973631</v>
      </c>
      <c r="B408" t="s">
        <v>411</v>
      </c>
      <c r="C408">
        <v>2015</v>
      </c>
      <c r="D408" t="s">
        <v>22</v>
      </c>
      <c r="E408" t="s">
        <v>16</v>
      </c>
      <c r="F408" t="s">
        <v>17</v>
      </c>
      <c r="G408">
        <v>17</v>
      </c>
      <c r="H408">
        <v>29</v>
      </c>
      <c r="I408" s="1">
        <f t="shared" si="6"/>
        <v>0.586206896551724</v>
      </c>
      <c r="J408" t="s">
        <v>23</v>
      </c>
      <c r="K408" t="s">
        <v>24</v>
      </c>
      <c r="L408" t="s">
        <v>22</v>
      </c>
      <c r="M408" t="s">
        <v>20</v>
      </c>
      <c r="N408" t="s">
        <v>21</v>
      </c>
    </row>
    <row r="409" spans="1:14">
      <c r="A409">
        <v>26006251</v>
      </c>
      <c r="B409" t="s">
        <v>412</v>
      </c>
      <c r="C409">
        <v>2015</v>
      </c>
      <c r="D409" t="s">
        <v>124</v>
      </c>
      <c r="E409" t="s">
        <v>77</v>
      </c>
      <c r="F409" t="s">
        <v>64</v>
      </c>
      <c r="G409">
        <v>7</v>
      </c>
      <c r="H409">
        <v>372</v>
      </c>
      <c r="I409" s="1">
        <f t="shared" si="6"/>
        <v>0.0188172043010753</v>
      </c>
      <c r="J409" t="s">
        <v>125</v>
      </c>
      <c r="K409" t="s">
        <v>126</v>
      </c>
      <c r="L409" t="s">
        <v>124</v>
      </c>
      <c r="M409" t="s">
        <v>75</v>
      </c>
      <c r="N409" t="s">
        <v>50</v>
      </c>
    </row>
    <row r="410" spans="1:14">
      <c r="A410">
        <v>26025105</v>
      </c>
      <c r="B410" t="s">
        <v>241</v>
      </c>
      <c r="C410">
        <v>2015</v>
      </c>
      <c r="D410" t="s">
        <v>124</v>
      </c>
      <c r="E410" t="s">
        <v>77</v>
      </c>
      <c r="F410" t="s">
        <v>64</v>
      </c>
      <c r="G410">
        <v>55</v>
      </c>
      <c r="H410">
        <v>164</v>
      </c>
      <c r="I410" s="1">
        <f t="shared" si="6"/>
        <v>0.335365853658537</v>
      </c>
      <c r="J410" t="s">
        <v>125</v>
      </c>
      <c r="K410" t="s">
        <v>126</v>
      </c>
      <c r="L410" t="s">
        <v>124</v>
      </c>
      <c r="M410" t="s">
        <v>75</v>
      </c>
      <c r="N410" t="s">
        <v>50</v>
      </c>
    </row>
    <row r="411" spans="1:14">
      <c r="A411">
        <v>26074342</v>
      </c>
      <c r="B411" t="s">
        <v>413</v>
      </c>
      <c r="C411">
        <v>2015</v>
      </c>
      <c r="D411" t="s">
        <v>22</v>
      </c>
      <c r="E411" t="s">
        <v>51</v>
      </c>
      <c r="F411" t="s">
        <v>64</v>
      </c>
      <c r="G411">
        <v>0</v>
      </c>
      <c r="H411">
        <v>1</v>
      </c>
      <c r="I411" s="1">
        <f t="shared" si="6"/>
        <v>0</v>
      </c>
      <c r="J411" t="s">
        <v>23</v>
      </c>
      <c r="K411" t="s">
        <v>24</v>
      </c>
      <c r="L411" t="s">
        <v>22</v>
      </c>
      <c r="M411" t="s">
        <v>68</v>
      </c>
      <c r="N411" t="s">
        <v>30</v>
      </c>
    </row>
    <row r="412" spans="1:14">
      <c r="A412">
        <v>26074342</v>
      </c>
      <c r="B412" t="s">
        <v>413</v>
      </c>
      <c r="C412">
        <v>2015</v>
      </c>
      <c r="D412" t="s">
        <v>22</v>
      </c>
      <c r="E412" t="s">
        <v>48</v>
      </c>
      <c r="F412" t="s">
        <v>28</v>
      </c>
      <c r="G412">
        <v>43</v>
      </c>
      <c r="H412">
        <v>317</v>
      </c>
      <c r="I412" s="1">
        <f t="shared" si="6"/>
        <v>0.135646687697161</v>
      </c>
      <c r="J412" t="s">
        <v>23</v>
      </c>
      <c r="K412" t="s">
        <v>24</v>
      </c>
      <c r="L412" t="s">
        <v>22</v>
      </c>
      <c r="M412" t="s">
        <v>68</v>
      </c>
      <c r="N412" t="s">
        <v>30</v>
      </c>
    </row>
    <row r="413" spans="1:14">
      <c r="A413">
        <v>26074342</v>
      </c>
      <c r="B413" t="s">
        <v>413</v>
      </c>
      <c r="C413">
        <v>2015</v>
      </c>
      <c r="D413" t="s">
        <v>22</v>
      </c>
      <c r="E413" t="s">
        <v>77</v>
      </c>
      <c r="F413" t="s">
        <v>64</v>
      </c>
      <c r="G413">
        <v>13</v>
      </c>
      <c r="H413">
        <v>72</v>
      </c>
      <c r="I413" s="1">
        <f t="shared" si="6"/>
        <v>0.180555555555556</v>
      </c>
      <c r="J413" t="s">
        <v>23</v>
      </c>
      <c r="K413" t="s">
        <v>24</v>
      </c>
      <c r="L413" t="s">
        <v>22</v>
      </c>
      <c r="M413" t="s">
        <v>68</v>
      </c>
      <c r="N413" t="s">
        <v>30</v>
      </c>
    </row>
    <row r="414" spans="1:14">
      <c r="A414">
        <v>26074342</v>
      </c>
      <c r="B414" t="s">
        <v>413</v>
      </c>
      <c r="C414">
        <v>2015</v>
      </c>
      <c r="D414" t="s">
        <v>22</v>
      </c>
      <c r="E414" t="s">
        <v>16</v>
      </c>
      <c r="F414" t="s">
        <v>28</v>
      </c>
      <c r="G414">
        <v>154</v>
      </c>
      <c r="H414">
        <v>1380</v>
      </c>
      <c r="I414" s="1">
        <f t="shared" si="6"/>
        <v>0.111594202898551</v>
      </c>
      <c r="J414" t="s">
        <v>23</v>
      </c>
      <c r="K414" t="s">
        <v>24</v>
      </c>
      <c r="L414" t="s">
        <v>22</v>
      </c>
      <c r="M414" t="s">
        <v>68</v>
      </c>
      <c r="N414" t="s">
        <v>30</v>
      </c>
    </row>
    <row r="415" spans="1:14">
      <c r="A415">
        <v>26079541</v>
      </c>
      <c r="B415" t="s">
        <v>414</v>
      </c>
      <c r="C415">
        <v>2015</v>
      </c>
      <c r="D415" t="s">
        <v>124</v>
      </c>
      <c r="E415" t="s">
        <v>77</v>
      </c>
      <c r="F415" t="s">
        <v>64</v>
      </c>
      <c r="G415">
        <v>5</v>
      </c>
      <c r="H415">
        <v>86</v>
      </c>
      <c r="I415" s="1">
        <f t="shared" si="6"/>
        <v>0.0581395348837209</v>
      </c>
      <c r="J415" t="s">
        <v>125</v>
      </c>
      <c r="K415" t="s">
        <v>126</v>
      </c>
      <c r="L415" t="s">
        <v>124</v>
      </c>
      <c r="M415" t="s">
        <v>70</v>
      </c>
      <c r="N415" t="s">
        <v>50</v>
      </c>
    </row>
    <row r="416" spans="1:14">
      <c r="A416">
        <v>26141050</v>
      </c>
      <c r="B416" t="s">
        <v>415</v>
      </c>
      <c r="C416">
        <v>2015</v>
      </c>
      <c r="D416" t="s">
        <v>124</v>
      </c>
      <c r="E416" t="s">
        <v>77</v>
      </c>
      <c r="F416" t="s">
        <v>64</v>
      </c>
      <c r="G416">
        <v>13</v>
      </c>
      <c r="H416">
        <v>81</v>
      </c>
      <c r="I416" s="1">
        <f t="shared" si="6"/>
        <v>0.160493827160494</v>
      </c>
      <c r="J416" t="s">
        <v>125</v>
      </c>
      <c r="K416" t="s">
        <v>126</v>
      </c>
      <c r="L416" t="s">
        <v>124</v>
      </c>
      <c r="M416" t="s">
        <v>416</v>
      </c>
      <c r="N416" t="s">
        <v>50</v>
      </c>
    </row>
    <row r="417" spans="1:14">
      <c r="A417">
        <v>26178821</v>
      </c>
      <c r="B417" t="s">
        <v>417</v>
      </c>
      <c r="C417">
        <v>2016</v>
      </c>
      <c r="D417" t="s">
        <v>83</v>
      </c>
      <c r="E417" t="s">
        <v>77</v>
      </c>
      <c r="F417" t="s">
        <v>17</v>
      </c>
      <c r="G417">
        <v>39</v>
      </c>
      <c r="H417">
        <v>6654</v>
      </c>
      <c r="I417" s="1">
        <f t="shared" si="6"/>
        <v>0.00586113615870153</v>
      </c>
      <c r="J417" t="s">
        <v>55</v>
      </c>
      <c r="K417" t="s">
        <v>56</v>
      </c>
      <c r="L417" t="s">
        <v>83</v>
      </c>
      <c r="M417" t="s">
        <v>151</v>
      </c>
      <c r="N417" t="s">
        <v>30</v>
      </c>
    </row>
    <row r="418" spans="1:14">
      <c r="A418">
        <v>26199731</v>
      </c>
      <c r="B418" t="s">
        <v>418</v>
      </c>
      <c r="C418">
        <v>2015</v>
      </c>
      <c r="D418" t="s">
        <v>124</v>
      </c>
      <c r="E418" t="s">
        <v>77</v>
      </c>
      <c r="F418" t="s">
        <v>64</v>
      </c>
      <c r="G418">
        <v>6</v>
      </c>
      <c r="H418">
        <v>64</v>
      </c>
      <c r="I418" s="1">
        <f t="shared" si="6"/>
        <v>0.09375</v>
      </c>
      <c r="J418" t="s">
        <v>125</v>
      </c>
      <c r="K418" t="s">
        <v>126</v>
      </c>
      <c r="L418" t="s">
        <v>124</v>
      </c>
      <c r="M418" t="s">
        <v>75</v>
      </c>
      <c r="N418" t="s">
        <v>50</v>
      </c>
    </row>
    <row r="419" spans="1:14">
      <c r="A419">
        <v>26234737</v>
      </c>
      <c r="B419" t="s">
        <v>419</v>
      </c>
      <c r="C419">
        <v>2016</v>
      </c>
      <c r="D419" t="s">
        <v>124</v>
      </c>
      <c r="E419" t="s">
        <v>77</v>
      </c>
      <c r="F419" t="s">
        <v>64</v>
      </c>
      <c r="G419">
        <v>7</v>
      </c>
      <c r="H419">
        <v>68</v>
      </c>
      <c r="I419" s="1">
        <f t="shared" si="6"/>
        <v>0.102941176470588</v>
      </c>
      <c r="J419" t="s">
        <v>125</v>
      </c>
      <c r="K419" t="s">
        <v>126</v>
      </c>
      <c r="L419" t="s">
        <v>124</v>
      </c>
      <c r="M419" t="s">
        <v>68</v>
      </c>
      <c r="N419" t="s">
        <v>30</v>
      </c>
    </row>
    <row r="420" spans="1:14">
      <c r="A420">
        <v>26246630</v>
      </c>
      <c r="B420" t="s">
        <v>420</v>
      </c>
      <c r="C420">
        <v>2015</v>
      </c>
      <c r="D420" t="s">
        <v>171</v>
      </c>
      <c r="E420" t="s">
        <v>77</v>
      </c>
      <c r="F420" t="s">
        <v>64</v>
      </c>
      <c r="G420">
        <v>1</v>
      </c>
      <c r="H420">
        <v>8</v>
      </c>
      <c r="I420" s="1">
        <f t="shared" si="6"/>
        <v>0.125</v>
      </c>
      <c r="J420" t="s">
        <v>172</v>
      </c>
      <c r="K420" t="s">
        <v>173</v>
      </c>
      <c r="L420" t="s">
        <v>171</v>
      </c>
      <c r="M420" t="s">
        <v>96</v>
      </c>
      <c r="N420" t="s">
        <v>21</v>
      </c>
    </row>
    <row r="421" spans="1:14">
      <c r="A421">
        <v>26246630</v>
      </c>
      <c r="B421" t="s">
        <v>420</v>
      </c>
      <c r="C421">
        <v>2015</v>
      </c>
      <c r="D421" t="s">
        <v>79</v>
      </c>
      <c r="E421" t="s">
        <v>77</v>
      </c>
      <c r="F421" t="s">
        <v>64</v>
      </c>
      <c r="G421">
        <v>0</v>
      </c>
      <c r="H421">
        <v>58</v>
      </c>
      <c r="I421" s="1">
        <f t="shared" si="6"/>
        <v>0</v>
      </c>
      <c r="J421" t="s">
        <v>80</v>
      </c>
      <c r="K421" t="s">
        <v>81</v>
      </c>
      <c r="L421" t="s">
        <v>79</v>
      </c>
      <c r="M421" t="s">
        <v>96</v>
      </c>
      <c r="N421" t="s">
        <v>21</v>
      </c>
    </row>
    <row r="422" spans="1:14">
      <c r="A422">
        <v>26246630</v>
      </c>
      <c r="B422" t="s">
        <v>420</v>
      </c>
      <c r="C422">
        <v>2015</v>
      </c>
      <c r="D422" t="s">
        <v>93</v>
      </c>
      <c r="E422" t="s">
        <v>77</v>
      </c>
      <c r="F422" t="s">
        <v>64</v>
      </c>
      <c r="G422">
        <v>0</v>
      </c>
      <c r="H422">
        <v>58</v>
      </c>
      <c r="I422" s="1">
        <f t="shared" si="6"/>
        <v>0</v>
      </c>
      <c r="J422" t="s">
        <v>94</v>
      </c>
      <c r="K422" t="s">
        <v>95</v>
      </c>
      <c r="L422" t="s">
        <v>93</v>
      </c>
      <c r="M422" t="s">
        <v>96</v>
      </c>
      <c r="N422" t="s">
        <v>21</v>
      </c>
    </row>
    <row r="423" spans="1:14">
      <c r="A423">
        <v>26265248</v>
      </c>
      <c r="B423" t="s">
        <v>421</v>
      </c>
      <c r="C423">
        <v>2015</v>
      </c>
      <c r="D423" t="s">
        <v>22</v>
      </c>
      <c r="E423" t="s">
        <v>48</v>
      </c>
      <c r="F423" t="s">
        <v>64</v>
      </c>
      <c r="G423">
        <v>2</v>
      </c>
      <c r="H423">
        <v>2</v>
      </c>
      <c r="I423" s="1">
        <f t="shared" si="6"/>
        <v>1</v>
      </c>
      <c r="J423" t="s">
        <v>23</v>
      </c>
      <c r="K423" t="s">
        <v>24</v>
      </c>
      <c r="L423" t="s">
        <v>22</v>
      </c>
      <c r="M423" t="s">
        <v>29</v>
      </c>
      <c r="N423" t="s">
        <v>30</v>
      </c>
    </row>
    <row r="424" spans="1:14">
      <c r="A424">
        <v>26271282</v>
      </c>
      <c r="B424" t="s">
        <v>422</v>
      </c>
      <c r="C424">
        <v>2015</v>
      </c>
      <c r="D424" t="s">
        <v>45</v>
      </c>
      <c r="E424" t="s">
        <v>51</v>
      </c>
      <c r="F424" t="s">
        <v>64</v>
      </c>
      <c r="G424">
        <v>8</v>
      </c>
      <c r="H424">
        <v>8</v>
      </c>
      <c r="I424" s="1">
        <f t="shared" si="6"/>
        <v>1</v>
      </c>
      <c r="J424" t="s">
        <v>23</v>
      </c>
      <c r="K424" t="s">
        <v>46</v>
      </c>
      <c r="L424" t="s">
        <v>45</v>
      </c>
      <c r="M424" t="s">
        <v>423</v>
      </c>
      <c r="N424" t="s">
        <v>50</v>
      </c>
    </row>
    <row r="425" spans="1:14">
      <c r="A425">
        <v>26303139</v>
      </c>
      <c r="B425" t="s">
        <v>424</v>
      </c>
      <c r="C425">
        <v>2015</v>
      </c>
      <c r="D425" t="s">
        <v>124</v>
      </c>
      <c r="E425" t="s">
        <v>77</v>
      </c>
      <c r="F425" t="s">
        <v>64</v>
      </c>
      <c r="G425">
        <v>0</v>
      </c>
      <c r="H425">
        <v>5</v>
      </c>
      <c r="I425" s="1">
        <f t="shared" si="6"/>
        <v>0</v>
      </c>
      <c r="J425" t="s">
        <v>125</v>
      </c>
      <c r="K425" t="s">
        <v>126</v>
      </c>
      <c r="L425" t="s">
        <v>124</v>
      </c>
      <c r="M425" t="s">
        <v>29</v>
      </c>
      <c r="N425" t="s">
        <v>30</v>
      </c>
    </row>
    <row r="426" spans="1:14">
      <c r="A426">
        <v>26303139</v>
      </c>
      <c r="B426" t="s">
        <v>424</v>
      </c>
      <c r="C426">
        <v>2015</v>
      </c>
      <c r="D426" t="s">
        <v>124</v>
      </c>
      <c r="E426" t="s">
        <v>27</v>
      </c>
      <c r="F426" t="s">
        <v>64</v>
      </c>
      <c r="G426">
        <v>0</v>
      </c>
      <c r="H426">
        <v>1</v>
      </c>
      <c r="I426" s="1">
        <f t="shared" si="6"/>
        <v>0</v>
      </c>
      <c r="J426" t="s">
        <v>125</v>
      </c>
      <c r="K426" t="s">
        <v>126</v>
      </c>
      <c r="L426" t="s">
        <v>124</v>
      </c>
      <c r="M426" t="s">
        <v>29</v>
      </c>
      <c r="N426" t="s">
        <v>30</v>
      </c>
    </row>
    <row r="427" spans="1:14">
      <c r="A427">
        <v>26325682</v>
      </c>
      <c r="B427" t="s">
        <v>425</v>
      </c>
      <c r="C427">
        <v>2015</v>
      </c>
      <c r="D427" t="s">
        <v>426</v>
      </c>
      <c r="E427" t="s">
        <v>27</v>
      </c>
      <c r="F427" t="s">
        <v>64</v>
      </c>
      <c r="G427">
        <v>1</v>
      </c>
      <c r="H427">
        <v>192</v>
      </c>
      <c r="I427" s="1">
        <f t="shared" si="6"/>
        <v>0.00520833333333333</v>
      </c>
      <c r="J427" t="s">
        <v>278</v>
      </c>
      <c r="K427" t="s">
        <v>427</v>
      </c>
      <c r="L427" t="s">
        <v>426</v>
      </c>
      <c r="M427" t="s">
        <v>29</v>
      </c>
      <c r="N427" t="s">
        <v>30</v>
      </c>
    </row>
    <row r="428" spans="1:14">
      <c r="A428">
        <v>26344041</v>
      </c>
      <c r="B428" t="s">
        <v>428</v>
      </c>
      <c r="C428">
        <v>2015</v>
      </c>
      <c r="D428" t="s">
        <v>124</v>
      </c>
      <c r="E428" t="s">
        <v>77</v>
      </c>
      <c r="F428" t="s">
        <v>64</v>
      </c>
      <c r="G428">
        <v>2</v>
      </c>
      <c r="H428">
        <v>2</v>
      </c>
      <c r="I428" s="1">
        <f t="shared" si="6"/>
        <v>1</v>
      </c>
      <c r="J428" t="s">
        <v>125</v>
      </c>
      <c r="K428" t="s">
        <v>126</v>
      </c>
      <c r="L428" t="s">
        <v>124</v>
      </c>
      <c r="M428" t="s">
        <v>49</v>
      </c>
      <c r="N428" t="s">
        <v>50</v>
      </c>
    </row>
    <row r="429" spans="1:14">
      <c r="A429">
        <v>26391375</v>
      </c>
      <c r="B429" t="s">
        <v>429</v>
      </c>
      <c r="C429">
        <v>2015</v>
      </c>
      <c r="D429" t="s">
        <v>15</v>
      </c>
      <c r="E429" t="s">
        <v>77</v>
      </c>
      <c r="F429" t="s">
        <v>28</v>
      </c>
      <c r="G429">
        <v>162</v>
      </c>
      <c r="H429">
        <v>3260</v>
      </c>
      <c r="I429" s="1">
        <f t="shared" si="6"/>
        <v>0.0496932515337423</v>
      </c>
      <c r="J429" t="s">
        <v>18</v>
      </c>
      <c r="K429" t="s">
        <v>19</v>
      </c>
      <c r="L429" t="s">
        <v>15</v>
      </c>
      <c r="M429" t="s">
        <v>75</v>
      </c>
      <c r="N429" t="s">
        <v>50</v>
      </c>
    </row>
    <row r="430" spans="1:14">
      <c r="A430">
        <v>26392908</v>
      </c>
      <c r="B430" t="s">
        <v>430</v>
      </c>
      <c r="C430">
        <v>2015</v>
      </c>
      <c r="D430" t="s">
        <v>93</v>
      </c>
      <c r="E430" t="s">
        <v>77</v>
      </c>
      <c r="F430" t="s">
        <v>28</v>
      </c>
      <c r="G430">
        <v>18</v>
      </c>
      <c r="H430">
        <v>94</v>
      </c>
      <c r="I430" s="1">
        <f t="shared" si="6"/>
        <v>0.191489361702128</v>
      </c>
      <c r="J430" t="s">
        <v>94</v>
      </c>
      <c r="K430" t="s">
        <v>95</v>
      </c>
      <c r="L430" t="s">
        <v>93</v>
      </c>
      <c r="M430" t="s">
        <v>204</v>
      </c>
      <c r="N430" t="s">
        <v>50</v>
      </c>
    </row>
    <row r="431" spans="1:14">
      <c r="A431">
        <v>26392908</v>
      </c>
      <c r="B431" t="s">
        <v>430</v>
      </c>
      <c r="C431">
        <v>2015</v>
      </c>
      <c r="D431" t="s">
        <v>195</v>
      </c>
      <c r="E431" t="s">
        <v>77</v>
      </c>
      <c r="F431" t="s">
        <v>28</v>
      </c>
      <c r="G431">
        <v>1</v>
      </c>
      <c r="H431">
        <v>94</v>
      </c>
      <c r="I431" s="1">
        <f t="shared" si="6"/>
        <v>0.0106382978723404</v>
      </c>
      <c r="J431" t="s">
        <v>85</v>
      </c>
      <c r="K431" t="s">
        <v>86</v>
      </c>
      <c r="L431" t="s">
        <v>195</v>
      </c>
      <c r="M431" t="s">
        <v>204</v>
      </c>
      <c r="N431" t="s">
        <v>50</v>
      </c>
    </row>
    <row r="432" spans="1:14">
      <c r="A432">
        <v>26392908</v>
      </c>
      <c r="B432" t="s">
        <v>430</v>
      </c>
      <c r="C432">
        <v>2015</v>
      </c>
      <c r="D432" t="s">
        <v>79</v>
      </c>
      <c r="E432" t="s">
        <v>77</v>
      </c>
      <c r="F432" t="s">
        <v>28</v>
      </c>
      <c r="G432">
        <v>12</v>
      </c>
      <c r="H432">
        <v>94</v>
      </c>
      <c r="I432" s="1">
        <f t="shared" si="6"/>
        <v>0.127659574468085</v>
      </c>
      <c r="J432" t="s">
        <v>80</v>
      </c>
      <c r="K432" t="s">
        <v>81</v>
      </c>
      <c r="L432" t="s">
        <v>79</v>
      </c>
      <c r="M432" t="s">
        <v>204</v>
      </c>
      <c r="N432" t="s">
        <v>50</v>
      </c>
    </row>
    <row r="433" spans="1:14">
      <c r="A433">
        <v>26392908</v>
      </c>
      <c r="B433" t="s">
        <v>430</v>
      </c>
      <c r="C433">
        <v>2015</v>
      </c>
      <c r="D433" t="s">
        <v>15</v>
      </c>
      <c r="E433" t="s">
        <v>77</v>
      </c>
      <c r="F433" t="s">
        <v>28</v>
      </c>
      <c r="G433">
        <v>33</v>
      </c>
      <c r="H433">
        <v>94</v>
      </c>
      <c r="I433" s="1">
        <f t="shared" si="6"/>
        <v>0.351063829787234</v>
      </c>
      <c r="J433" t="s">
        <v>18</v>
      </c>
      <c r="K433" t="s">
        <v>19</v>
      </c>
      <c r="L433" t="s">
        <v>15</v>
      </c>
      <c r="M433" t="s">
        <v>204</v>
      </c>
      <c r="N433" t="s">
        <v>50</v>
      </c>
    </row>
    <row r="434" spans="1:14">
      <c r="A434">
        <v>26412545</v>
      </c>
      <c r="B434" t="s">
        <v>431</v>
      </c>
      <c r="C434">
        <v>2015</v>
      </c>
      <c r="D434" t="s">
        <v>82</v>
      </c>
      <c r="E434" t="s">
        <v>77</v>
      </c>
      <c r="F434" t="s">
        <v>64</v>
      </c>
      <c r="G434">
        <v>4</v>
      </c>
      <c r="H434">
        <v>102</v>
      </c>
      <c r="I434" s="1">
        <f t="shared" si="6"/>
        <v>0.0392156862745098</v>
      </c>
      <c r="J434" t="s">
        <v>38</v>
      </c>
      <c r="K434" t="s">
        <v>39</v>
      </c>
      <c r="L434" t="s">
        <v>82</v>
      </c>
      <c r="M434" t="s">
        <v>78</v>
      </c>
      <c r="N434" t="s">
        <v>50</v>
      </c>
    </row>
    <row r="435" spans="1:14">
      <c r="A435">
        <v>26412545</v>
      </c>
      <c r="B435" t="s">
        <v>431</v>
      </c>
      <c r="C435">
        <v>2015</v>
      </c>
      <c r="D435" t="s">
        <v>93</v>
      </c>
      <c r="E435" t="s">
        <v>77</v>
      </c>
      <c r="F435" t="s">
        <v>64</v>
      </c>
      <c r="G435">
        <v>3</v>
      </c>
      <c r="H435">
        <v>112</v>
      </c>
      <c r="I435" s="1">
        <f t="shared" si="6"/>
        <v>0.0267857142857143</v>
      </c>
      <c r="J435" t="s">
        <v>94</v>
      </c>
      <c r="K435" t="s">
        <v>95</v>
      </c>
      <c r="L435" t="s">
        <v>93</v>
      </c>
      <c r="M435" t="s">
        <v>78</v>
      </c>
      <c r="N435" t="s">
        <v>50</v>
      </c>
    </row>
    <row r="436" spans="1:14">
      <c r="A436">
        <v>26412545</v>
      </c>
      <c r="B436" t="s">
        <v>431</v>
      </c>
      <c r="C436">
        <v>2015</v>
      </c>
      <c r="D436" t="s">
        <v>15</v>
      </c>
      <c r="E436" t="s">
        <v>77</v>
      </c>
      <c r="F436" t="s">
        <v>64</v>
      </c>
      <c r="G436">
        <v>6</v>
      </c>
      <c r="H436">
        <v>110</v>
      </c>
      <c r="I436" s="1">
        <f t="shared" si="6"/>
        <v>0.0545454545454545</v>
      </c>
      <c r="J436" t="s">
        <v>18</v>
      </c>
      <c r="K436" t="s">
        <v>19</v>
      </c>
      <c r="L436" t="s">
        <v>15</v>
      </c>
      <c r="M436" t="s">
        <v>78</v>
      </c>
      <c r="N436" t="s">
        <v>50</v>
      </c>
    </row>
    <row r="437" spans="1:14">
      <c r="A437">
        <v>26493830</v>
      </c>
      <c r="B437" t="s">
        <v>218</v>
      </c>
      <c r="C437">
        <v>2015</v>
      </c>
      <c r="D437" t="s">
        <v>124</v>
      </c>
      <c r="E437" t="s">
        <v>77</v>
      </c>
      <c r="F437" t="s">
        <v>64</v>
      </c>
      <c r="G437">
        <v>7</v>
      </c>
      <c r="H437">
        <v>46</v>
      </c>
      <c r="I437" s="1">
        <f t="shared" si="6"/>
        <v>0.152173913043478</v>
      </c>
      <c r="J437" t="s">
        <v>125</v>
      </c>
      <c r="K437" t="s">
        <v>126</v>
      </c>
      <c r="L437" t="s">
        <v>124</v>
      </c>
      <c r="M437" t="s">
        <v>49</v>
      </c>
      <c r="N437" t="s">
        <v>50</v>
      </c>
    </row>
    <row r="438" spans="1:14">
      <c r="A438">
        <v>26497350</v>
      </c>
      <c r="B438" t="s">
        <v>432</v>
      </c>
      <c r="C438">
        <v>2016</v>
      </c>
      <c r="D438" t="s">
        <v>249</v>
      </c>
      <c r="E438" t="s">
        <v>77</v>
      </c>
      <c r="F438" t="s">
        <v>64</v>
      </c>
      <c r="G438">
        <v>65</v>
      </c>
      <c r="H438">
        <v>22095</v>
      </c>
      <c r="I438" s="1">
        <f t="shared" si="6"/>
        <v>0.0029418420457117</v>
      </c>
      <c r="J438" t="s">
        <v>250</v>
      </c>
      <c r="K438" t="s">
        <v>251</v>
      </c>
      <c r="L438" t="s">
        <v>249</v>
      </c>
      <c r="M438" t="s">
        <v>318</v>
      </c>
      <c r="N438" t="s">
        <v>50</v>
      </c>
    </row>
    <row r="439" spans="1:14">
      <c r="A439">
        <v>26518619</v>
      </c>
      <c r="B439" t="s">
        <v>433</v>
      </c>
      <c r="C439">
        <v>2017</v>
      </c>
      <c r="D439" t="s">
        <v>124</v>
      </c>
      <c r="E439" t="s">
        <v>77</v>
      </c>
      <c r="F439" t="s">
        <v>28</v>
      </c>
      <c r="G439">
        <v>130</v>
      </c>
      <c r="H439">
        <v>383</v>
      </c>
      <c r="I439" s="1">
        <f t="shared" si="6"/>
        <v>0.339425587467363</v>
      </c>
      <c r="J439" t="s">
        <v>125</v>
      </c>
      <c r="K439" t="s">
        <v>126</v>
      </c>
      <c r="L439" t="s">
        <v>124</v>
      </c>
      <c r="M439" t="s">
        <v>62</v>
      </c>
      <c r="N439" t="s">
        <v>50</v>
      </c>
    </row>
    <row r="440" spans="1:14">
      <c r="A440">
        <v>26545869</v>
      </c>
      <c r="B440" t="s">
        <v>434</v>
      </c>
      <c r="C440">
        <v>2015</v>
      </c>
      <c r="D440" t="s">
        <v>15</v>
      </c>
      <c r="E440" t="s">
        <v>77</v>
      </c>
      <c r="F440" t="s">
        <v>28</v>
      </c>
      <c r="G440">
        <v>7</v>
      </c>
      <c r="H440">
        <v>1228</v>
      </c>
      <c r="I440" s="1">
        <f t="shared" si="6"/>
        <v>0.00570032573289902</v>
      </c>
      <c r="J440" t="s">
        <v>18</v>
      </c>
      <c r="K440" t="s">
        <v>19</v>
      </c>
      <c r="L440" t="s">
        <v>15</v>
      </c>
      <c r="M440" t="s">
        <v>290</v>
      </c>
      <c r="N440" t="s">
        <v>50</v>
      </c>
    </row>
    <row r="441" spans="1:14">
      <c r="A441">
        <v>26548609</v>
      </c>
      <c r="B441" t="s">
        <v>435</v>
      </c>
      <c r="C441">
        <v>2016</v>
      </c>
      <c r="D441" t="s">
        <v>53</v>
      </c>
      <c r="E441" t="s">
        <v>167</v>
      </c>
      <c r="F441" t="s">
        <v>64</v>
      </c>
      <c r="G441">
        <v>0</v>
      </c>
      <c r="H441">
        <v>11</v>
      </c>
      <c r="I441" s="1">
        <f t="shared" si="6"/>
        <v>0</v>
      </c>
      <c r="J441" t="s">
        <v>436</v>
      </c>
      <c r="K441" t="s">
        <v>56</v>
      </c>
      <c r="L441" t="s">
        <v>53</v>
      </c>
      <c r="M441" t="s">
        <v>169</v>
      </c>
      <c r="N441" t="s">
        <v>50</v>
      </c>
    </row>
    <row r="442" spans="1:14">
      <c r="A442">
        <v>26575627</v>
      </c>
      <c r="B442" t="s">
        <v>437</v>
      </c>
      <c r="C442">
        <v>2015</v>
      </c>
      <c r="D442" t="s">
        <v>438</v>
      </c>
      <c r="E442" t="s">
        <v>167</v>
      </c>
      <c r="F442" t="s">
        <v>64</v>
      </c>
      <c r="G442">
        <v>10</v>
      </c>
      <c r="H442">
        <v>120</v>
      </c>
      <c r="I442" s="1">
        <f t="shared" si="6"/>
        <v>0.0833333333333333</v>
      </c>
      <c r="J442" t="s">
        <v>132</v>
      </c>
      <c r="K442" t="s">
        <v>107</v>
      </c>
      <c r="L442" t="s">
        <v>438</v>
      </c>
      <c r="M442" t="s">
        <v>366</v>
      </c>
      <c r="N442" t="s">
        <v>50</v>
      </c>
    </row>
    <row r="443" spans="1:14">
      <c r="A443">
        <v>26575627</v>
      </c>
      <c r="B443" t="s">
        <v>437</v>
      </c>
      <c r="C443">
        <v>2015</v>
      </c>
      <c r="D443" t="s">
        <v>438</v>
      </c>
      <c r="E443" t="s">
        <v>131</v>
      </c>
      <c r="F443" t="s">
        <v>64</v>
      </c>
      <c r="G443">
        <v>21</v>
      </c>
      <c r="H443">
        <v>272</v>
      </c>
      <c r="I443" s="1">
        <f t="shared" si="6"/>
        <v>0.0772058823529412</v>
      </c>
      <c r="J443" t="s">
        <v>132</v>
      </c>
      <c r="K443" t="s">
        <v>107</v>
      </c>
      <c r="L443" t="s">
        <v>438</v>
      </c>
      <c r="M443" t="s">
        <v>366</v>
      </c>
      <c r="N443" t="s">
        <v>50</v>
      </c>
    </row>
    <row r="444" spans="1:14">
      <c r="A444">
        <v>26684209</v>
      </c>
      <c r="B444" t="s">
        <v>439</v>
      </c>
      <c r="C444">
        <v>2016</v>
      </c>
      <c r="D444" t="s">
        <v>83</v>
      </c>
      <c r="E444" t="s">
        <v>77</v>
      </c>
      <c r="F444" t="s">
        <v>64</v>
      </c>
      <c r="G444">
        <v>11</v>
      </c>
      <c r="H444">
        <v>11</v>
      </c>
      <c r="I444" s="1">
        <f t="shared" si="6"/>
        <v>1</v>
      </c>
      <c r="J444" t="s">
        <v>55</v>
      </c>
      <c r="K444" t="s">
        <v>56</v>
      </c>
      <c r="L444" t="s">
        <v>83</v>
      </c>
      <c r="M444" t="s">
        <v>70</v>
      </c>
      <c r="N444" t="s">
        <v>50</v>
      </c>
    </row>
    <row r="445" spans="1:14">
      <c r="A445">
        <v>26711454</v>
      </c>
      <c r="B445" t="s">
        <v>440</v>
      </c>
      <c r="C445">
        <v>2016</v>
      </c>
      <c r="D445" t="s">
        <v>263</v>
      </c>
      <c r="E445" t="s">
        <v>77</v>
      </c>
      <c r="F445" t="s">
        <v>64</v>
      </c>
      <c r="G445">
        <v>12</v>
      </c>
      <c r="H445">
        <v>50</v>
      </c>
      <c r="I445" s="1">
        <f t="shared" si="6"/>
        <v>0.24</v>
      </c>
      <c r="J445" t="s">
        <v>38</v>
      </c>
      <c r="K445" t="s">
        <v>39</v>
      </c>
      <c r="L445" t="s">
        <v>263</v>
      </c>
      <c r="M445" t="s">
        <v>213</v>
      </c>
      <c r="N445" t="s">
        <v>50</v>
      </c>
    </row>
    <row r="446" spans="1:14">
      <c r="A446">
        <v>26733295</v>
      </c>
      <c r="B446" t="s">
        <v>441</v>
      </c>
      <c r="C446">
        <v>2016</v>
      </c>
      <c r="D446" t="s">
        <v>195</v>
      </c>
      <c r="E446" t="s">
        <v>77</v>
      </c>
      <c r="F446" t="s">
        <v>28</v>
      </c>
      <c r="G446">
        <v>0</v>
      </c>
      <c r="H446">
        <v>14</v>
      </c>
      <c r="I446" s="1">
        <f t="shared" si="6"/>
        <v>0</v>
      </c>
      <c r="J446" t="s">
        <v>85</v>
      </c>
      <c r="K446" t="s">
        <v>86</v>
      </c>
      <c r="L446" t="s">
        <v>195</v>
      </c>
      <c r="M446" t="s">
        <v>29</v>
      </c>
      <c r="N446" t="s">
        <v>30</v>
      </c>
    </row>
    <row r="447" spans="1:14">
      <c r="A447">
        <v>26739067</v>
      </c>
      <c r="B447" t="s">
        <v>442</v>
      </c>
      <c r="C447">
        <v>2016</v>
      </c>
      <c r="D447" t="s">
        <v>321</v>
      </c>
      <c r="E447" t="s">
        <v>77</v>
      </c>
      <c r="F447" t="s">
        <v>64</v>
      </c>
      <c r="G447">
        <v>1</v>
      </c>
      <c r="H447">
        <v>9</v>
      </c>
      <c r="I447" s="1">
        <f t="shared" si="6"/>
        <v>0.111111111111111</v>
      </c>
      <c r="J447" t="s">
        <v>322</v>
      </c>
      <c r="K447" t="s">
        <v>323</v>
      </c>
      <c r="L447" t="s">
        <v>321</v>
      </c>
      <c r="M447" t="s">
        <v>29</v>
      </c>
      <c r="N447" t="s">
        <v>30</v>
      </c>
    </row>
    <row r="448" spans="1:14">
      <c r="A448">
        <v>26739067</v>
      </c>
      <c r="B448" t="s">
        <v>442</v>
      </c>
      <c r="C448">
        <v>2016</v>
      </c>
      <c r="D448" t="s">
        <v>277</v>
      </c>
      <c r="E448" t="s">
        <v>77</v>
      </c>
      <c r="F448" t="s">
        <v>64</v>
      </c>
      <c r="G448">
        <v>0</v>
      </c>
      <c r="H448">
        <v>9</v>
      </c>
      <c r="I448" s="1">
        <f t="shared" si="6"/>
        <v>0</v>
      </c>
      <c r="J448" t="s">
        <v>278</v>
      </c>
      <c r="K448" t="s">
        <v>279</v>
      </c>
      <c r="L448" t="s">
        <v>277</v>
      </c>
      <c r="M448" t="s">
        <v>29</v>
      </c>
      <c r="N448" t="s">
        <v>30</v>
      </c>
    </row>
    <row r="449" spans="1:14">
      <c r="A449">
        <v>26739067</v>
      </c>
      <c r="B449" t="s">
        <v>442</v>
      </c>
      <c r="C449">
        <v>2016</v>
      </c>
      <c r="D449" t="s">
        <v>325</v>
      </c>
      <c r="E449" t="s">
        <v>77</v>
      </c>
      <c r="F449" t="s">
        <v>64</v>
      </c>
      <c r="G449">
        <v>0</v>
      </c>
      <c r="H449">
        <v>9</v>
      </c>
      <c r="I449" s="1">
        <f t="shared" si="6"/>
        <v>0</v>
      </c>
      <c r="J449" t="s">
        <v>80</v>
      </c>
      <c r="K449" t="s">
        <v>113</v>
      </c>
      <c r="L449" t="s">
        <v>325</v>
      </c>
      <c r="M449" t="s">
        <v>29</v>
      </c>
      <c r="N449" t="s">
        <v>30</v>
      </c>
    </row>
    <row r="450" spans="1:14">
      <c r="A450">
        <v>26757050</v>
      </c>
      <c r="B450" t="s">
        <v>443</v>
      </c>
      <c r="C450">
        <v>2016</v>
      </c>
      <c r="D450" t="s">
        <v>124</v>
      </c>
      <c r="E450" t="s">
        <v>77</v>
      </c>
      <c r="F450" t="s">
        <v>64</v>
      </c>
      <c r="G450">
        <v>1</v>
      </c>
      <c r="H450">
        <v>288</v>
      </c>
      <c r="I450" s="1">
        <f t="shared" si="6"/>
        <v>0.00347222222222222</v>
      </c>
      <c r="J450" t="s">
        <v>125</v>
      </c>
      <c r="K450" t="s">
        <v>126</v>
      </c>
      <c r="L450" t="s">
        <v>124</v>
      </c>
      <c r="M450" t="s">
        <v>162</v>
      </c>
      <c r="N450" t="s">
        <v>50</v>
      </c>
    </row>
    <row r="451" spans="1:14">
      <c r="A451">
        <v>26767363</v>
      </c>
      <c r="B451" t="s">
        <v>444</v>
      </c>
      <c r="C451">
        <v>2016</v>
      </c>
      <c r="D451" t="s">
        <v>185</v>
      </c>
      <c r="E451" t="s">
        <v>77</v>
      </c>
      <c r="F451" t="s">
        <v>64</v>
      </c>
      <c r="G451">
        <v>0</v>
      </c>
      <c r="H451">
        <v>52</v>
      </c>
      <c r="I451" s="1">
        <f t="shared" ref="I451:I514" si="7">G451/H451</f>
        <v>0</v>
      </c>
      <c r="J451" t="s">
        <v>55</v>
      </c>
      <c r="K451" t="s">
        <v>56</v>
      </c>
      <c r="L451" t="s">
        <v>185</v>
      </c>
      <c r="M451" t="s">
        <v>78</v>
      </c>
      <c r="N451" t="s">
        <v>50</v>
      </c>
    </row>
    <row r="452" spans="1:14">
      <c r="A452">
        <v>26802526</v>
      </c>
      <c r="B452" t="s">
        <v>445</v>
      </c>
      <c r="C452">
        <v>2016</v>
      </c>
      <c r="D452" t="s">
        <v>446</v>
      </c>
      <c r="E452" t="s">
        <v>16</v>
      </c>
      <c r="F452" t="s">
        <v>54</v>
      </c>
      <c r="G452">
        <v>182</v>
      </c>
      <c r="H452">
        <v>499</v>
      </c>
      <c r="I452" s="1">
        <f t="shared" si="7"/>
        <v>0.364729458917836</v>
      </c>
      <c r="J452" t="s">
        <v>447</v>
      </c>
      <c r="K452" t="s">
        <v>448</v>
      </c>
      <c r="L452" t="s">
        <v>446</v>
      </c>
      <c r="M452" t="s">
        <v>20</v>
      </c>
      <c r="N452" t="s">
        <v>21</v>
      </c>
    </row>
    <row r="453" spans="1:14">
      <c r="A453">
        <v>26802526</v>
      </c>
      <c r="B453" t="s">
        <v>445</v>
      </c>
      <c r="C453">
        <v>2016</v>
      </c>
      <c r="D453" t="s">
        <v>446</v>
      </c>
      <c r="E453" t="s">
        <v>16</v>
      </c>
      <c r="F453" t="s">
        <v>54</v>
      </c>
      <c r="G453">
        <v>182</v>
      </c>
      <c r="H453">
        <v>499</v>
      </c>
      <c r="I453" s="1">
        <f t="shared" si="7"/>
        <v>0.364729458917836</v>
      </c>
      <c r="J453" t="s">
        <v>447</v>
      </c>
      <c r="K453" t="s">
        <v>448</v>
      </c>
      <c r="L453" t="s">
        <v>446</v>
      </c>
      <c r="M453" t="s">
        <v>96</v>
      </c>
      <c r="N453" t="s">
        <v>21</v>
      </c>
    </row>
    <row r="454" spans="1:14">
      <c r="A454">
        <v>26810218</v>
      </c>
      <c r="B454" t="s">
        <v>449</v>
      </c>
      <c r="C454">
        <v>2016</v>
      </c>
      <c r="D454" t="s">
        <v>83</v>
      </c>
      <c r="E454" t="s">
        <v>77</v>
      </c>
      <c r="F454" t="s">
        <v>64</v>
      </c>
      <c r="G454">
        <v>0</v>
      </c>
      <c r="H454">
        <v>134</v>
      </c>
      <c r="I454" s="1">
        <f t="shared" si="7"/>
        <v>0</v>
      </c>
      <c r="J454" t="s">
        <v>55</v>
      </c>
      <c r="K454" t="s">
        <v>56</v>
      </c>
      <c r="L454" t="s">
        <v>83</v>
      </c>
      <c r="M454" t="s">
        <v>70</v>
      </c>
      <c r="N454" t="s">
        <v>50</v>
      </c>
    </row>
    <row r="455" spans="1:14">
      <c r="A455">
        <v>26917364</v>
      </c>
      <c r="B455" t="s">
        <v>450</v>
      </c>
      <c r="C455">
        <v>2016</v>
      </c>
      <c r="D455" t="s">
        <v>79</v>
      </c>
      <c r="E455" t="s">
        <v>77</v>
      </c>
      <c r="F455" t="s">
        <v>64</v>
      </c>
      <c r="G455">
        <v>0</v>
      </c>
      <c r="H455">
        <v>38</v>
      </c>
      <c r="I455" s="1">
        <f t="shared" si="7"/>
        <v>0</v>
      </c>
      <c r="J455" t="s">
        <v>80</v>
      </c>
      <c r="K455" t="s">
        <v>81</v>
      </c>
      <c r="L455" t="s">
        <v>79</v>
      </c>
      <c r="M455" t="s">
        <v>29</v>
      </c>
      <c r="N455" t="s">
        <v>30</v>
      </c>
    </row>
    <row r="456" spans="1:14">
      <c r="A456">
        <v>26917364</v>
      </c>
      <c r="B456" t="s">
        <v>450</v>
      </c>
      <c r="C456">
        <v>2016</v>
      </c>
      <c r="D456" t="s">
        <v>410</v>
      </c>
      <c r="E456" t="s">
        <v>77</v>
      </c>
      <c r="F456" t="s">
        <v>64</v>
      </c>
      <c r="G456">
        <v>0</v>
      </c>
      <c r="H456">
        <v>38</v>
      </c>
      <c r="I456" s="1">
        <f t="shared" si="7"/>
        <v>0</v>
      </c>
      <c r="J456" t="s">
        <v>38</v>
      </c>
      <c r="K456" t="s">
        <v>39</v>
      </c>
      <c r="L456" t="s">
        <v>410</v>
      </c>
      <c r="M456" t="s">
        <v>29</v>
      </c>
      <c r="N456" t="s">
        <v>30</v>
      </c>
    </row>
    <row r="457" spans="1:14">
      <c r="A457">
        <v>26917364</v>
      </c>
      <c r="B457" t="s">
        <v>450</v>
      </c>
      <c r="C457">
        <v>2016</v>
      </c>
      <c r="D457" t="s">
        <v>15</v>
      </c>
      <c r="E457" t="s">
        <v>77</v>
      </c>
      <c r="F457" t="s">
        <v>64</v>
      </c>
      <c r="G457">
        <v>0</v>
      </c>
      <c r="H457">
        <v>38</v>
      </c>
      <c r="I457" s="1">
        <f t="shared" si="7"/>
        <v>0</v>
      </c>
      <c r="J457" t="s">
        <v>18</v>
      </c>
      <c r="K457" t="s">
        <v>19</v>
      </c>
      <c r="L457" t="s">
        <v>15</v>
      </c>
      <c r="M457" t="s">
        <v>29</v>
      </c>
      <c r="N457" t="s">
        <v>30</v>
      </c>
    </row>
    <row r="458" spans="1:14">
      <c r="A458">
        <v>26917364</v>
      </c>
      <c r="B458" t="s">
        <v>450</v>
      </c>
      <c r="C458">
        <v>2016</v>
      </c>
      <c r="D458" t="s">
        <v>83</v>
      </c>
      <c r="E458" t="s">
        <v>77</v>
      </c>
      <c r="F458" t="s">
        <v>64</v>
      </c>
      <c r="G458">
        <v>0</v>
      </c>
      <c r="H458">
        <v>38</v>
      </c>
      <c r="I458" s="1">
        <f t="shared" si="7"/>
        <v>0</v>
      </c>
      <c r="J458" t="s">
        <v>55</v>
      </c>
      <c r="K458" t="s">
        <v>56</v>
      </c>
      <c r="L458" t="s">
        <v>83</v>
      </c>
      <c r="M458" t="s">
        <v>29</v>
      </c>
      <c r="N458" t="s">
        <v>30</v>
      </c>
    </row>
    <row r="459" spans="1:14">
      <c r="A459">
        <v>26959654</v>
      </c>
      <c r="B459" t="s">
        <v>451</v>
      </c>
      <c r="C459">
        <v>2016</v>
      </c>
      <c r="D459" t="s">
        <v>452</v>
      </c>
      <c r="E459" t="s">
        <v>77</v>
      </c>
      <c r="F459" t="s">
        <v>64</v>
      </c>
      <c r="G459">
        <v>7</v>
      </c>
      <c r="H459">
        <v>259</v>
      </c>
      <c r="I459" s="1">
        <f t="shared" si="7"/>
        <v>0.027027027027027</v>
      </c>
      <c r="J459" t="s">
        <v>38</v>
      </c>
      <c r="K459" t="s">
        <v>39</v>
      </c>
      <c r="L459" t="s">
        <v>452</v>
      </c>
      <c r="M459" t="s">
        <v>68</v>
      </c>
      <c r="N459" t="s">
        <v>30</v>
      </c>
    </row>
    <row r="460" spans="1:14">
      <c r="A460">
        <v>27001767</v>
      </c>
      <c r="B460" t="s">
        <v>453</v>
      </c>
      <c r="C460">
        <v>2016</v>
      </c>
      <c r="D460" t="s">
        <v>110</v>
      </c>
      <c r="E460" t="s">
        <v>51</v>
      </c>
      <c r="F460" t="s">
        <v>64</v>
      </c>
      <c r="G460">
        <v>4</v>
      </c>
      <c r="H460">
        <v>4</v>
      </c>
      <c r="I460" s="1">
        <f t="shared" si="7"/>
        <v>1</v>
      </c>
      <c r="J460" t="s">
        <v>43</v>
      </c>
      <c r="K460" t="s">
        <v>44</v>
      </c>
      <c r="L460" t="s">
        <v>110</v>
      </c>
      <c r="M460" t="s">
        <v>243</v>
      </c>
      <c r="N460" t="s">
        <v>50</v>
      </c>
    </row>
    <row r="461" spans="1:14">
      <c r="A461">
        <v>27035712</v>
      </c>
      <c r="B461" t="s">
        <v>425</v>
      </c>
      <c r="C461">
        <v>2016</v>
      </c>
      <c r="D461" t="s">
        <v>454</v>
      </c>
      <c r="E461" t="s">
        <v>131</v>
      </c>
      <c r="F461" t="s">
        <v>28</v>
      </c>
      <c r="G461">
        <v>20</v>
      </c>
      <c r="H461">
        <v>159</v>
      </c>
      <c r="I461" s="1">
        <f t="shared" si="7"/>
        <v>0.125786163522013</v>
      </c>
      <c r="J461" t="s">
        <v>231</v>
      </c>
      <c r="K461" t="s">
        <v>455</v>
      </c>
      <c r="L461" t="s">
        <v>454</v>
      </c>
      <c r="M461" t="s">
        <v>456</v>
      </c>
      <c r="N461" t="s">
        <v>30</v>
      </c>
    </row>
    <row r="462" spans="1:14">
      <c r="A462">
        <v>27035712</v>
      </c>
      <c r="B462" t="s">
        <v>425</v>
      </c>
      <c r="C462">
        <v>2016</v>
      </c>
      <c r="D462" t="s">
        <v>454</v>
      </c>
      <c r="E462" t="s">
        <v>167</v>
      </c>
      <c r="F462" t="s">
        <v>28</v>
      </c>
      <c r="G462">
        <v>7</v>
      </c>
      <c r="H462">
        <v>184</v>
      </c>
      <c r="I462" s="1">
        <f t="shared" si="7"/>
        <v>0.0380434782608696</v>
      </c>
      <c r="J462" t="s">
        <v>231</v>
      </c>
      <c r="K462" t="s">
        <v>455</v>
      </c>
      <c r="L462" t="s">
        <v>454</v>
      </c>
      <c r="M462" t="s">
        <v>456</v>
      </c>
      <c r="N462" t="s">
        <v>30</v>
      </c>
    </row>
    <row r="463" spans="1:14">
      <c r="A463">
        <v>27038799</v>
      </c>
      <c r="B463" t="s">
        <v>457</v>
      </c>
      <c r="C463">
        <v>2016</v>
      </c>
      <c r="D463" t="s">
        <v>63</v>
      </c>
      <c r="E463" t="s">
        <v>167</v>
      </c>
      <c r="F463" t="s">
        <v>64</v>
      </c>
      <c r="G463">
        <v>0</v>
      </c>
      <c r="H463">
        <v>4</v>
      </c>
      <c r="I463" s="1">
        <f t="shared" si="7"/>
        <v>0</v>
      </c>
      <c r="J463" t="s">
        <v>231</v>
      </c>
      <c r="K463" t="s">
        <v>61</v>
      </c>
      <c r="L463" t="s">
        <v>63</v>
      </c>
      <c r="M463" t="s">
        <v>456</v>
      </c>
      <c r="N463" t="s">
        <v>30</v>
      </c>
    </row>
    <row r="464" spans="1:14">
      <c r="A464">
        <v>27038799</v>
      </c>
      <c r="B464" t="s">
        <v>457</v>
      </c>
      <c r="C464">
        <v>2016</v>
      </c>
      <c r="D464" t="s">
        <v>66</v>
      </c>
      <c r="E464" t="s">
        <v>167</v>
      </c>
      <c r="F464" t="s">
        <v>64</v>
      </c>
      <c r="G464">
        <v>0</v>
      </c>
      <c r="H464">
        <v>4</v>
      </c>
      <c r="I464" s="1">
        <f t="shared" si="7"/>
        <v>0</v>
      </c>
      <c r="J464" t="s">
        <v>231</v>
      </c>
      <c r="K464" t="s">
        <v>61</v>
      </c>
      <c r="L464" t="s">
        <v>66</v>
      </c>
      <c r="M464" t="s">
        <v>456</v>
      </c>
      <c r="N464" t="s">
        <v>30</v>
      </c>
    </row>
    <row r="465" spans="1:14">
      <c r="A465">
        <v>27043361</v>
      </c>
      <c r="B465" t="s">
        <v>458</v>
      </c>
      <c r="C465">
        <v>2016</v>
      </c>
      <c r="D465" t="s">
        <v>454</v>
      </c>
      <c r="E465" t="s">
        <v>48</v>
      </c>
      <c r="F465" t="s">
        <v>64</v>
      </c>
      <c r="G465">
        <v>0</v>
      </c>
      <c r="H465">
        <v>7</v>
      </c>
      <c r="I465" s="1">
        <f t="shared" si="7"/>
        <v>0</v>
      </c>
      <c r="J465" t="s">
        <v>60</v>
      </c>
      <c r="K465" t="s">
        <v>455</v>
      </c>
      <c r="L465" t="s">
        <v>454</v>
      </c>
      <c r="M465" t="s">
        <v>151</v>
      </c>
      <c r="N465" t="s">
        <v>30</v>
      </c>
    </row>
    <row r="466" spans="1:14">
      <c r="A466">
        <v>27087689</v>
      </c>
      <c r="B466" t="s">
        <v>459</v>
      </c>
      <c r="C466">
        <v>2016</v>
      </c>
      <c r="D466" t="s">
        <v>53</v>
      </c>
      <c r="E466" t="s">
        <v>77</v>
      </c>
      <c r="F466" t="s">
        <v>17</v>
      </c>
      <c r="G466">
        <v>7</v>
      </c>
      <c r="H466">
        <v>238</v>
      </c>
      <c r="I466" s="1">
        <f t="shared" si="7"/>
        <v>0.0294117647058824</v>
      </c>
      <c r="J466" t="s">
        <v>55</v>
      </c>
      <c r="K466" t="s">
        <v>56</v>
      </c>
      <c r="L466" t="s">
        <v>53</v>
      </c>
      <c r="M466" t="s">
        <v>62</v>
      </c>
      <c r="N466" t="s">
        <v>50</v>
      </c>
    </row>
    <row r="467" spans="1:14">
      <c r="A467">
        <v>27087689</v>
      </c>
      <c r="B467" t="s">
        <v>459</v>
      </c>
      <c r="C467">
        <v>2016</v>
      </c>
      <c r="D467" t="s">
        <v>460</v>
      </c>
      <c r="E467" t="s">
        <v>77</v>
      </c>
      <c r="F467" t="s">
        <v>41</v>
      </c>
      <c r="G467">
        <v>0</v>
      </c>
      <c r="H467">
        <v>10</v>
      </c>
      <c r="I467" s="1">
        <f t="shared" si="7"/>
        <v>0</v>
      </c>
      <c r="J467" t="s">
        <v>55</v>
      </c>
      <c r="K467" t="s">
        <v>56</v>
      </c>
      <c r="L467" t="s">
        <v>460</v>
      </c>
      <c r="M467" t="s">
        <v>62</v>
      </c>
      <c r="N467" t="s">
        <v>50</v>
      </c>
    </row>
    <row r="468" spans="1:14">
      <c r="A468">
        <v>27087689</v>
      </c>
      <c r="B468" t="s">
        <v>459</v>
      </c>
      <c r="C468">
        <v>2016</v>
      </c>
      <c r="D468" t="s">
        <v>461</v>
      </c>
      <c r="E468" t="s">
        <v>77</v>
      </c>
      <c r="F468" t="s">
        <v>41</v>
      </c>
      <c r="G468">
        <v>0</v>
      </c>
      <c r="H468">
        <v>10</v>
      </c>
      <c r="I468" s="1">
        <f t="shared" si="7"/>
        <v>0</v>
      </c>
      <c r="J468" t="s">
        <v>55</v>
      </c>
      <c r="K468" t="s">
        <v>56</v>
      </c>
      <c r="L468" t="s">
        <v>461</v>
      </c>
      <c r="M468" t="s">
        <v>62</v>
      </c>
      <c r="N468" t="s">
        <v>50</v>
      </c>
    </row>
    <row r="469" spans="1:14">
      <c r="A469">
        <v>27087689</v>
      </c>
      <c r="B469" t="s">
        <v>459</v>
      </c>
      <c r="C469">
        <v>2016</v>
      </c>
      <c r="D469" t="s">
        <v>462</v>
      </c>
      <c r="E469" t="s">
        <v>77</v>
      </c>
      <c r="F469" t="s">
        <v>17</v>
      </c>
      <c r="G469">
        <v>1</v>
      </c>
      <c r="H469">
        <v>10</v>
      </c>
      <c r="I469" s="1">
        <f t="shared" si="7"/>
        <v>0.1</v>
      </c>
      <c r="J469" t="s">
        <v>55</v>
      </c>
      <c r="K469" t="s">
        <v>56</v>
      </c>
      <c r="L469" t="s">
        <v>462</v>
      </c>
      <c r="M469" t="s">
        <v>62</v>
      </c>
      <c r="N469" t="s">
        <v>50</v>
      </c>
    </row>
    <row r="470" spans="1:14">
      <c r="A470">
        <v>27087689</v>
      </c>
      <c r="B470" t="s">
        <v>459</v>
      </c>
      <c r="C470">
        <v>2016</v>
      </c>
      <c r="D470" t="s">
        <v>463</v>
      </c>
      <c r="E470" t="s">
        <v>77</v>
      </c>
      <c r="F470" t="s">
        <v>137</v>
      </c>
      <c r="G470">
        <v>3</v>
      </c>
      <c r="H470">
        <v>10</v>
      </c>
      <c r="I470" s="1">
        <f t="shared" si="7"/>
        <v>0.3</v>
      </c>
      <c r="J470" t="s">
        <v>55</v>
      </c>
      <c r="K470" t="s">
        <v>56</v>
      </c>
      <c r="L470" t="s">
        <v>463</v>
      </c>
      <c r="M470" t="s">
        <v>62</v>
      </c>
      <c r="N470" t="s">
        <v>50</v>
      </c>
    </row>
    <row r="471" spans="1:14">
      <c r="A471">
        <v>27087689</v>
      </c>
      <c r="B471" t="s">
        <v>459</v>
      </c>
      <c r="C471">
        <v>2016</v>
      </c>
      <c r="D471" t="s">
        <v>83</v>
      </c>
      <c r="E471" t="s">
        <v>77</v>
      </c>
      <c r="F471" t="s">
        <v>17</v>
      </c>
      <c r="G471">
        <v>0</v>
      </c>
      <c r="H471">
        <v>10</v>
      </c>
      <c r="I471" s="1">
        <f t="shared" si="7"/>
        <v>0</v>
      </c>
      <c r="J471" t="s">
        <v>55</v>
      </c>
      <c r="K471" t="s">
        <v>56</v>
      </c>
      <c r="L471" t="s">
        <v>83</v>
      </c>
      <c r="M471" t="s">
        <v>62</v>
      </c>
      <c r="N471" t="s">
        <v>50</v>
      </c>
    </row>
    <row r="472" spans="1:14">
      <c r="A472">
        <v>27087689</v>
      </c>
      <c r="B472" t="s">
        <v>459</v>
      </c>
      <c r="C472">
        <v>2016</v>
      </c>
      <c r="D472" t="s">
        <v>57</v>
      </c>
      <c r="E472" t="s">
        <v>77</v>
      </c>
      <c r="F472" t="s">
        <v>17</v>
      </c>
      <c r="G472">
        <v>1</v>
      </c>
      <c r="H472">
        <v>10</v>
      </c>
      <c r="I472" s="1">
        <f t="shared" si="7"/>
        <v>0.1</v>
      </c>
      <c r="J472" t="s">
        <v>55</v>
      </c>
      <c r="K472" t="s">
        <v>56</v>
      </c>
      <c r="L472" t="s">
        <v>57</v>
      </c>
      <c r="M472" t="s">
        <v>62</v>
      </c>
      <c r="N472" t="s">
        <v>50</v>
      </c>
    </row>
    <row r="473" spans="1:14">
      <c r="A473">
        <v>27087689</v>
      </c>
      <c r="B473" t="s">
        <v>459</v>
      </c>
      <c r="C473">
        <v>2016</v>
      </c>
      <c r="D473" t="s">
        <v>176</v>
      </c>
      <c r="E473" t="s">
        <v>77</v>
      </c>
      <c r="F473" t="s">
        <v>41</v>
      </c>
      <c r="G473">
        <v>0</v>
      </c>
      <c r="H473">
        <v>10</v>
      </c>
      <c r="I473" s="1">
        <f t="shared" si="7"/>
        <v>0</v>
      </c>
      <c r="J473" t="s">
        <v>55</v>
      </c>
      <c r="K473" t="s">
        <v>56</v>
      </c>
      <c r="L473" t="s">
        <v>176</v>
      </c>
      <c r="M473" t="s">
        <v>62</v>
      </c>
      <c r="N473" t="s">
        <v>50</v>
      </c>
    </row>
    <row r="474" spans="1:14">
      <c r="A474">
        <v>27102167</v>
      </c>
      <c r="B474" t="s">
        <v>464</v>
      </c>
      <c r="C474">
        <v>2016</v>
      </c>
      <c r="D474" t="s">
        <v>465</v>
      </c>
      <c r="E474" t="s">
        <v>167</v>
      </c>
      <c r="F474" t="s">
        <v>64</v>
      </c>
      <c r="G474">
        <v>1</v>
      </c>
      <c r="H474">
        <v>3</v>
      </c>
      <c r="I474" s="1">
        <f t="shared" si="7"/>
        <v>0.333333333333333</v>
      </c>
      <c r="J474" t="s">
        <v>365</v>
      </c>
      <c r="K474" t="s">
        <v>113</v>
      </c>
      <c r="L474" t="s">
        <v>465</v>
      </c>
      <c r="M474" t="s">
        <v>202</v>
      </c>
      <c r="N474" t="s">
        <v>50</v>
      </c>
    </row>
    <row r="475" spans="1:14">
      <c r="A475">
        <v>27124329</v>
      </c>
      <c r="B475" t="s">
        <v>466</v>
      </c>
      <c r="C475">
        <v>2016</v>
      </c>
      <c r="D475" t="s">
        <v>15</v>
      </c>
      <c r="E475" t="s">
        <v>77</v>
      </c>
      <c r="F475" t="s">
        <v>28</v>
      </c>
      <c r="G475">
        <v>68</v>
      </c>
      <c r="H475">
        <v>282</v>
      </c>
      <c r="I475" s="1">
        <f t="shared" si="7"/>
        <v>0.24113475177305</v>
      </c>
      <c r="J475" t="s">
        <v>18</v>
      </c>
      <c r="K475" t="s">
        <v>19</v>
      </c>
      <c r="L475" t="s">
        <v>15</v>
      </c>
      <c r="M475" t="s">
        <v>20</v>
      </c>
      <c r="N475" t="s">
        <v>21</v>
      </c>
    </row>
    <row r="476" spans="1:14">
      <c r="A476">
        <v>27174429</v>
      </c>
      <c r="B476" t="s">
        <v>467</v>
      </c>
      <c r="C476">
        <v>2016</v>
      </c>
      <c r="D476" t="s">
        <v>195</v>
      </c>
      <c r="E476" t="s">
        <v>77</v>
      </c>
      <c r="F476" t="s">
        <v>64</v>
      </c>
      <c r="G476">
        <v>3</v>
      </c>
      <c r="H476">
        <v>23</v>
      </c>
      <c r="I476" s="1">
        <f t="shared" si="7"/>
        <v>0.130434782608696</v>
      </c>
      <c r="J476" t="s">
        <v>85</v>
      </c>
      <c r="K476" t="s">
        <v>86</v>
      </c>
      <c r="L476" t="s">
        <v>195</v>
      </c>
      <c r="M476" t="s">
        <v>146</v>
      </c>
      <c r="N476" t="s">
        <v>134</v>
      </c>
    </row>
    <row r="477" spans="1:14">
      <c r="A477">
        <v>27200364</v>
      </c>
      <c r="B477" t="s">
        <v>468</v>
      </c>
      <c r="C477">
        <v>2016</v>
      </c>
      <c r="D477" t="s">
        <v>106</v>
      </c>
      <c r="E477" t="s">
        <v>77</v>
      </c>
      <c r="F477" t="s">
        <v>28</v>
      </c>
      <c r="G477">
        <v>15</v>
      </c>
      <c r="H477">
        <v>120</v>
      </c>
      <c r="I477" s="1">
        <f t="shared" si="7"/>
        <v>0.125</v>
      </c>
      <c r="J477" t="s">
        <v>35</v>
      </c>
      <c r="K477" t="s">
        <v>107</v>
      </c>
      <c r="L477" t="s">
        <v>106</v>
      </c>
      <c r="M477" t="s">
        <v>469</v>
      </c>
      <c r="N477" t="s">
        <v>30</v>
      </c>
    </row>
    <row r="478" spans="1:14">
      <c r="A478">
        <v>27314611</v>
      </c>
      <c r="B478" t="s">
        <v>470</v>
      </c>
      <c r="C478">
        <v>2016</v>
      </c>
      <c r="D478" t="s">
        <v>249</v>
      </c>
      <c r="E478" t="s">
        <v>77</v>
      </c>
      <c r="F478" t="s">
        <v>64</v>
      </c>
      <c r="G478">
        <v>67</v>
      </c>
      <c r="H478">
        <v>8569</v>
      </c>
      <c r="I478" s="1">
        <f t="shared" si="7"/>
        <v>0.00781888201657136</v>
      </c>
      <c r="J478" t="s">
        <v>250</v>
      </c>
      <c r="K478" t="s">
        <v>251</v>
      </c>
      <c r="L478" t="s">
        <v>249</v>
      </c>
      <c r="M478" t="s">
        <v>318</v>
      </c>
      <c r="N478" t="s">
        <v>50</v>
      </c>
    </row>
    <row r="479" spans="1:14">
      <c r="A479">
        <v>27357597</v>
      </c>
      <c r="B479" t="s">
        <v>471</v>
      </c>
      <c r="C479">
        <v>2016</v>
      </c>
      <c r="D479" t="s">
        <v>15</v>
      </c>
      <c r="E479" t="s">
        <v>77</v>
      </c>
      <c r="F479" t="s">
        <v>64</v>
      </c>
      <c r="G479">
        <v>8</v>
      </c>
      <c r="H479">
        <v>40</v>
      </c>
      <c r="I479" s="1">
        <f t="shared" si="7"/>
        <v>0.2</v>
      </c>
      <c r="J479" t="s">
        <v>18</v>
      </c>
      <c r="K479" t="s">
        <v>19</v>
      </c>
      <c r="L479" t="s">
        <v>15</v>
      </c>
      <c r="M479" t="s">
        <v>404</v>
      </c>
      <c r="N479" t="s">
        <v>50</v>
      </c>
    </row>
    <row r="480" spans="1:14">
      <c r="A480">
        <v>27357597</v>
      </c>
      <c r="B480" t="s">
        <v>471</v>
      </c>
      <c r="C480">
        <v>2016</v>
      </c>
      <c r="D480" t="s">
        <v>93</v>
      </c>
      <c r="E480" t="s">
        <v>77</v>
      </c>
      <c r="F480" t="s">
        <v>64</v>
      </c>
      <c r="G480">
        <v>0</v>
      </c>
      <c r="H480">
        <v>40</v>
      </c>
      <c r="I480" s="1">
        <f t="shared" si="7"/>
        <v>0</v>
      </c>
      <c r="J480" t="s">
        <v>94</v>
      </c>
      <c r="K480" t="s">
        <v>95</v>
      </c>
      <c r="L480" t="s">
        <v>93</v>
      </c>
      <c r="M480" t="s">
        <v>404</v>
      </c>
      <c r="N480" t="s">
        <v>50</v>
      </c>
    </row>
    <row r="481" spans="1:14">
      <c r="A481">
        <v>27357597</v>
      </c>
      <c r="B481" t="s">
        <v>471</v>
      </c>
      <c r="C481">
        <v>2016</v>
      </c>
      <c r="D481" t="s">
        <v>79</v>
      </c>
      <c r="E481" t="s">
        <v>77</v>
      </c>
      <c r="F481" t="s">
        <v>64</v>
      </c>
      <c r="G481">
        <v>0</v>
      </c>
      <c r="H481">
        <v>40</v>
      </c>
      <c r="I481" s="1">
        <f t="shared" si="7"/>
        <v>0</v>
      </c>
      <c r="J481" t="s">
        <v>80</v>
      </c>
      <c r="K481" t="s">
        <v>81</v>
      </c>
      <c r="L481" t="s">
        <v>79</v>
      </c>
      <c r="M481" t="s">
        <v>404</v>
      </c>
      <c r="N481" t="s">
        <v>50</v>
      </c>
    </row>
    <row r="482" spans="1:14">
      <c r="A482">
        <v>27357597</v>
      </c>
      <c r="B482" t="s">
        <v>471</v>
      </c>
      <c r="C482">
        <v>2016</v>
      </c>
      <c r="D482" t="s">
        <v>112</v>
      </c>
      <c r="E482" t="s">
        <v>77</v>
      </c>
      <c r="F482" t="s">
        <v>64</v>
      </c>
      <c r="G482">
        <v>0</v>
      </c>
      <c r="H482">
        <v>40</v>
      </c>
      <c r="I482" s="1">
        <f t="shared" si="7"/>
        <v>0</v>
      </c>
      <c r="J482" t="s">
        <v>80</v>
      </c>
      <c r="K482" t="s">
        <v>113</v>
      </c>
      <c r="L482" t="s">
        <v>112</v>
      </c>
      <c r="M482" t="s">
        <v>404</v>
      </c>
      <c r="N482" t="s">
        <v>50</v>
      </c>
    </row>
    <row r="483" spans="1:14">
      <c r="A483">
        <v>27357597</v>
      </c>
      <c r="B483" t="s">
        <v>471</v>
      </c>
      <c r="C483">
        <v>2016</v>
      </c>
      <c r="D483" t="s">
        <v>84</v>
      </c>
      <c r="E483" t="s">
        <v>77</v>
      </c>
      <c r="F483" t="s">
        <v>64</v>
      </c>
      <c r="G483">
        <v>0</v>
      </c>
      <c r="H483">
        <v>40</v>
      </c>
      <c r="I483" s="1">
        <f t="shared" si="7"/>
        <v>0</v>
      </c>
      <c r="J483" t="s">
        <v>85</v>
      </c>
      <c r="K483" t="s">
        <v>86</v>
      </c>
      <c r="L483" t="s">
        <v>84</v>
      </c>
      <c r="M483" t="s">
        <v>404</v>
      </c>
      <c r="N483" t="s">
        <v>50</v>
      </c>
    </row>
    <row r="484" spans="1:14">
      <c r="A484">
        <v>27357597</v>
      </c>
      <c r="B484" t="s">
        <v>471</v>
      </c>
      <c r="C484">
        <v>2016</v>
      </c>
      <c r="D484" t="s">
        <v>82</v>
      </c>
      <c r="E484" t="s">
        <v>77</v>
      </c>
      <c r="F484" t="s">
        <v>64</v>
      </c>
      <c r="G484">
        <v>0</v>
      </c>
      <c r="H484">
        <v>40</v>
      </c>
      <c r="I484" s="1">
        <f t="shared" si="7"/>
        <v>0</v>
      </c>
      <c r="J484" t="s">
        <v>38</v>
      </c>
      <c r="K484" t="s">
        <v>39</v>
      </c>
      <c r="L484" t="s">
        <v>82</v>
      </c>
      <c r="M484" t="s">
        <v>404</v>
      </c>
      <c r="N484" t="s">
        <v>50</v>
      </c>
    </row>
    <row r="485" spans="1:14">
      <c r="A485">
        <v>27393602</v>
      </c>
      <c r="B485" t="s">
        <v>472</v>
      </c>
      <c r="C485">
        <v>2016</v>
      </c>
      <c r="D485" t="s">
        <v>124</v>
      </c>
      <c r="E485" t="s">
        <v>77</v>
      </c>
      <c r="F485" t="s">
        <v>64</v>
      </c>
      <c r="G485">
        <v>3</v>
      </c>
      <c r="H485">
        <v>196</v>
      </c>
      <c r="I485" s="1">
        <f t="shared" si="7"/>
        <v>0.0153061224489796</v>
      </c>
      <c r="J485" t="s">
        <v>125</v>
      </c>
      <c r="K485" t="s">
        <v>126</v>
      </c>
      <c r="L485" t="s">
        <v>124</v>
      </c>
      <c r="M485" t="s">
        <v>75</v>
      </c>
      <c r="N485" t="s">
        <v>50</v>
      </c>
    </row>
    <row r="486" spans="1:14">
      <c r="A486">
        <v>27437570</v>
      </c>
      <c r="B486" t="s">
        <v>473</v>
      </c>
      <c r="C486">
        <v>2016</v>
      </c>
      <c r="D486" t="s">
        <v>124</v>
      </c>
      <c r="E486" t="s">
        <v>77</v>
      </c>
      <c r="F486" t="s">
        <v>64</v>
      </c>
      <c r="G486">
        <v>8</v>
      </c>
      <c r="H486">
        <v>8</v>
      </c>
      <c r="I486" s="1">
        <f t="shared" si="7"/>
        <v>1</v>
      </c>
      <c r="J486" t="s">
        <v>125</v>
      </c>
      <c r="K486" t="s">
        <v>126</v>
      </c>
      <c r="L486" t="s">
        <v>124</v>
      </c>
      <c r="M486" t="s">
        <v>70</v>
      </c>
      <c r="N486" t="s">
        <v>50</v>
      </c>
    </row>
    <row r="487" spans="1:14">
      <c r="A487">
        <v>27527383</v>
      </c>
      <c r="B487" t="s">
        <v>474</v>
      </c>
      <c r="C487">
        <v>2016</v>
      </c>
      <c r="D487" t="s">
        <v>53</v>
      </c>
      <c r="E487" t="s">
        <v>77</v>
      </c>
      <c r="F487" t="s">
        <v>28</v>
      </c>
      <c r="G487">
        <v>4</v>
      </c>
      <c r="H487">
        <v>229</v>
      </c>
      <c r="I487" s="1">
        <f t="shared" si="7"/>
        <v>0.0174672489082969</v>
      </c>
      <c r="J487" t="s">
        <v>55</v>
      </c>
      <c r="K487" t="s">
        <v>56</v>
      </c>
      <c r="L487" t="s">
        <v>53</v>
      </c>
      <c r="M487" t="s">
        <v>49</v>
      </c>
      <c r="N487" t="s">
        <v>50</v>
      </c>
    </row>
    <row r="488" spans="1:14">
      <c r="A488">
        <v>27527769</v>
      </c>
      <c r="B488" t="s">
        <v>475</v>
      </c>
      <c r="C488">
        <v>2016</v>
      </c>
      <c r="D488" t="s">
        <v>325</v>
      </c>
      <c r="E488" t="s">
        <v>77</v>
      </c>
      <c r="F488" t="s">
        <v>64</v>
      </c>
      <c r="G488">
        <v>28</v>
      </c>
      <c r="H488">
        <v>287</v>
      </c>
      <c r="I488" s="1">
        <f t="shared" si="7"/>
        <v>0.0975609756097561</v>
      </c>
      <c r="J488" t="s">
        <v>80</v>
      </c>
      <c r="K488" t="s">
        <v>113</v>
      </c>
      <c r="L488" t="s">
        <v>325</v>
      </c>
      <c r="M488" t="s">
        <v>151</v>
      </c>
      <c r="N488" t="s">
        <v>30</v>
      </c>
    </row>
    <row r="489" spans="1:14">
      <c r="A489">
        <v>27556478</v>
      </c>
      <c r="B489" t="s">
        <v>476</v>
      </c>
      <c r="C489">
        <v>2016</v>
      </c>
      <c r="D489" t="s">
        <v>124</v>
      </c>
      <c r="E489" t="s">
        <v>77</v>
      </c>
      <c r="F489" t="s">
        <v>28</v>
      </c>
      <c r="G489">
        <v>74</v>
      </c>
      <c r="H489">
        <v>284</v>
      </c>
      <c r="I489" s="1">
        <f t="shared" si="7"/>
        <v>0.26056338028169</v>
      </c>
      <c r="J489" t="s">
        <v>125</v>
      </c>
      <c r="K489" t="s">
        <v>126</v>
      </c>
      <c r="L489" t="s">
        <v>124</v>
      </c>
      <c r="M489" t="s">
        <v>70</v>
      </c>
      <c r="N489" t="s">
        <v>50</v>
      </c>
    </row>
    <row r="490" spans="1:14">
      <c r="A490">
        <v>27590473</v>
      </c>
      <c r="B490" t="s">
        <v>371</v>
      </c>
      <c r="C490">
        <v>2016</v>
      </c>
      <c r="D490" t="s">
        <v>22</v>
      </c>
      <c r="E490" t="s">
        <v>51</v>
      </c>
      <c r="F490" t="s">
        <v>64</v>
      </c>
      <c r="G490">
        <v>6</v>
      </c>
      <c r="H490">
        <v>16</v>
      </c>
      <c r="I490" s="1">
        <f t="shared" si="7"/>
        <v>0.375</v>
      </c>
      <c r="J490" t="s">
        <v>23</v>
      </c>
      <c r="K490" t="s">
        <v>24</v>
      </c>
      <c r="L490" t="s">
        <v>22</v>
      </c>
      <c r="M490" t="s">
        <v>49</v>
      </c>
      <c r="N490" t="s">
        <v>50</v>
      </c>
    </row>
    <row r="491" spans="1:14">
      <c r="A491">
        <v>27590473</v>
      </c>
      <c r="B491" t="s">
        <v>371</v>
      </c>
      <c r="C491">
        <v>2016</v>
      </c>
      <c r="D491" t="s">
        <v>45</v>
      </c>
      <c r="E491" t="s">
        <v>51</v>
      </c>
      <c r="F491" t="s">
        <v>41</v>
      </c>
      <c r="G491">
        <v>0</v>
      </c>
      <c r="H491">
        <v>16</v>
      </c>
      <c r="I491" s="1">
        <f t="shared" si="7"/>
        <v>0</v>
      </c>
      <c r="J491" t="s">
        <v>23</v>
      </c>
      <c r="K491" t="s">
        <v>46</v>
      </c>
      <c r="L491" t="s">
        <v>45</v>
      </c>
      <c r="M491" t="s">
        <v>49</v>
      </c>
      <c r="N491" t="s">
        <v>50</v>
      </c>
    </row>
    <row r="492" spans="1:14">
      <c r="A492">
        <v>27590473</v>
      </c>
      <c r="B492" t="s">
        <v>371</v>
      </c>
      <c r="C492">
        <v>2016</v>
      </c>
      <c r="D492" t="s">
        <v>477</v>
      </c>
      <c r="E492" t="s">
        <v>51</v>
      </c>
      <c r="F492" t="s">
        <v>41</v>
      </c>
      <c r="G492">
        <v>37</v>
      </c>
      <c r="H492">
        <v>225</v>
      </c>
      <c r="I492" s="1">
        <f t="shared" si="7"/>
        <v>0.164444444444444</v>
      </c>
      <c r="J492" t="s">
        <v>23</v>
      </c>
      <c r="K492" t="s">
        <v>72</v>
      </c>
      <c r="L492" t="s">
        <v>477</v>
      </c>
      <c r="M492" t="s">
        <v>49</v>
      </c>
      <c r="N492" t="s">
        <v>50</v>
      </c>
    </row>
    <row r="493" spans="1:14">
      <c r="A493">
        <v>27590473</v>
      </c>
      <c r="B493" t="s">
        <v>371</v>
      </c>
      <c r="C493">
        <v>2016</v>
      </c>
      <c r="D493" t="s">
        <v>115</v>
      </c>
      <c r="E493" t="s">
        <v>51</v>
      </c>
      <c r="F493" t="s">
        <v>64</v>
      </c>
      <c r="G493">
        <v>0</v>
      </c>
      <c r="H493">
        <v>16</v>
      </c>
      <c r="I493" s="1">
        <f t="shared" si="7"/>
        <v>0</v>
      </c>
      <c r="J493" t="s">
        <v>38</v>
      </c>
      <c r="K493" t="s">
        <v>39</v>
      </c>
      <c r="L493" t="s">
        <v>115</v>
      </c>
      <c r="M493" t="s">
        <v>49</v>
      </c>
      <c r="N493" t="s">
        <v>50</v>
      </c>
    </row>
    <row r="494" spans="1:14">
      <c r="A494">
        <v>27599927</v>
      </c>
      <c r="B494" t="s">
        <v>478</v>
      </c>
      <c r="C494">
        <v>2016</v>
      </c>
      <c r="D494" t="s">
        <v>277</v>
      </c>
      <c r="E494" t="s">
        <v>77</v>
      </c>
      <c r="F494" t="s">
        <v>64</v>
      </c>
      <c r="G494">
        <v>5</v>
      </c>
      <c r="H494">
        <v>203</v>
      </c>
      <c r="I494" s="1">
        <f t="shared" si="7"/>
        <v>0.0246305418719212</v>
      </c>
      <c r="J494" t="s">
        <v>278</v>
      </c>
      <c r="K494" t="s">
        <v>279</v>
      </c>
      <c r="L494" t="s">
        <v>277</v>
      </c>
      <c r="M494" t="s">
        <v>199</v>
      </c>
      <c r="N494" t="s">
        <v>50</v>
      </c>
    </row>
    <row r="495" spans="1:14">
      <c r="A495">
        <v>27599927</v>
      </c>
      <c r="B495" t="s">
        <v>478</v>
      </c>
      <c r="C495">
        <v>2016</v>
      </c>
      <c r="D495" t="s">
        <v>337</v>
      </c>
      <c r="E495" t="s">
        <v>77</v>
      </c>
      <c r="F495" t="s">
        <v>64</v>
      </c>
      <c r="G495">
        <v>18</v>
      </c>
      <c r="H495">
        <v>203</v>
      </c>
      <c r="I495" s="1">
        <f t="shared" si="7"/>
        <v>0.0886699507389163</v>
      </c>
      <c r="J495" t="s">
        <v>35</v>
      </c>
      <c r="K495" t="s">
        <v>107</v>
      </c>
      <c r="L495" t="s">
        <v>337</v>
      </c>
      <c r="M495" t="s">
        <v>199</v>
      </c>
      <c r="N495" t="s">
        <v>50</v>
      </c>
    </row>
    <row r="496" spans="1:14">
      <c r="A496">
        <v>27599927</v>
      </c>
      <c r="B496" t="s">
        <v>478</v>
      </c>
      <c r="C496">
        <v>2016</v>
      </c>
      <c r="D496" t="s">
        <v>479</v>
      </c>
      <c r="E496" t="s">
        <v>77</v>
      </c>
      <c r="F496" t="s">
        <v>64</v>
      </c>
      <c r="G496">
        <v>26</v>
      </c>
      <c r="H496">
        <v>203</v>
      </c>
      <c r="I496" s="1">
        <f t="shared" si="7"/>
        <v>0.12807881773399</v>
      </c>
      <c r="J496" t="s">
        <v>278</v>
      </c>
      <c r="K496" t="s">
        <v>279</v>
      </c>
      <c r="L496" t="s">
        <v>479</v>
      </c>
      <c r="M496" t="s">
        <v>199</v>
      </c>
      <c r="N496" t="s">
        <v>50</v>
      </c>
    </row>
    <row r="497" spans="1:14">
      <c r="A497">
        <v>27599927</v>
      </c>
      <c r="B497" t="s">
        <v>478</v>
      </c>
      <c r="C497">
        <v>2016</v>
      </c>
      <c r="D497" t="s">
        <v>112</v>
      </c>
      <c r="E497" t="s">
        <v>77</v>
      </c>
      <c r="F497" t="s">
        <v>64</v>
      </c>
      <c r="G497">
        <v>0</v>
      </c>
      <c r="H497">
        <v>203</v>
      </c>
      <c r="I497" s="1">
        <f t="shared" si="7"/>
        <v>0</v>
      </c>
      <c r="J497" t="s">
        <v>80</v>
      </c>
      <c r="K497" t="s">
        <v>113</v>
      </c>
      <c r="L497" t="s">
        <v>112</v>
      </c>
      <c r="M497" t="s">
        <v>199</v>
      </c>
      <c r="N497" t="s">
        <v>50</v>
      </c>
    </row>
    <row r="498" spans="1:14">
      <c r="A498">
        <v>27599927</v>
      </c>
      <c r="B498" t="s">
        <v>478</v>
      </c>
      <c r="C498">
        <v>2016</v>
      </c>
      <c r="D498" t="s">
        <v>480</v>
      </c>
      <c r="E498" t="s">
        <v>77</v>
      </c>
      <c r="F498" t="s">
        <v>64</v>
      </c>
      <c r="G498">
        <v>0</v>
      </c>
      <c r="H498">
        <v>203</v>
      </c>
      <c r="I498" s="1">
        <f t="shared" si="7"/>
        <v>0</v>
      </c>
      <c r="J498" t="s">
        <v>80</v>
      </c>
      <c r="K498" t="s">
        <v>113</v>
      </c>
      <c r="L498" t="s">
        <v>480</v>
      </c>
      <c r="M498" t="s">
        <v>199</v>
      </c>
      <c r="N498" t="s">
        <v>50</v>
      </c>
    </row>
    <row r="499" spans="1:14">
      <c r="A499">
        <v>27599927</v>
      </c>
      <c r="B499" t="s">
        <v>478</v>
      </c>
      <c r="C499">
        <v>2016</v>
      </c>
      <c r="D499" t="s">
        <v>311</v>
      </c>
      <c r="E499" t="s">
        <v>77</v>
      </c>
      <c r="F499" t="s">
        <v>64</v>
      </c>
      <c r="G499">
        <v>41</v>
      </c>
      <c r="H499">
        <v>203</v>
      </c>
      <c r="I499" s="1">
        <f t="shared" si="7"/>
        <v>0.201970443349754</v>
      </c>
      <c r="J499" t="s">
        <v>35</v>
      </c>
      <c r="K499" t="s">
        <v>107</v>
      </c>
      <c r="L499" t="s">
        <v>311</v>
      </c>
      <c r="M499" t="s">
        <v>199</v>
      </c>
      <c r="N499" t="s">
        <v>50</v>
      </c>
    </row>
    <row r="500" spans="1:14">
      <c r="A500">
        <v>27599927</v>
      </c>
      <c r="B500" t="s">
        <v>478</v>
      </c>
      <c r="C500">
        <v>2016</v>
      </c>
      <c r="D500" t="s">
        <v>325</v>
      </c>
      <c r="E500" t="s">
        <v>77</v>
      </c>
      <c r="F500" t="s">
        <v>64</v>
      </c>
      <c r="G500">
        <v>0</v>
      </c>
      <c r="H500">
        <v>203</v>
      </c>
      <c r="I500" s="1">
        <f t="shared" si="7"/>
        <v>0</v>
      </c>
      <c r="J500" t="s">
        <v>80</v>
      </c>
      <c r="K500" t="s">
        <v>113</v>
      </c>
      <c r="L500" t="s">
        <v>325</v>
      </c>
      <c r="M500" t="s">
        <v>199</v>
      </c>
      <c r="N500" t="s">
        <v>50</v>
      </c>
    </row>
    <row r="501" spans="1:14">
      <c r="A501">
        <v>27599927</v>
      </c>
      <c r="B501" t="s">
        <v>478</v>
      </c>
      <c r="C501">
        <v>2016</v>
      </c>
      <c r="D501" t="s">
        <v>313</v>
      </c>
      <c r="E501" t="s">
        <v>77</v>
      </c>
      <c r="F501" t="s">
        <v>64</v>
      </c>
      <c r="G501">
        <v>5</v>
      </c>
      <c r="H501">
        <v>203</v>
      </c>
      <c r="I501" s="1">
        <f t="shared" si="7"/>
        <v>0.0246305418719212</v>
      </c>
      <c r="J501" t="s">
        <v>35</v>
      </c>
      <c r="K501" t="s">
        <v>107</v>
      </c>
      <c r="L501" t="s">
        <v>313</v>
      </c>
      <c r="M501" t="s">
        <v>199</v>
      </c>
      <c r="N501" t="s">
        <v>50</v>
      </c>
    </row>
    <row r="502" spans="1:14">
      <c r="A502">
        <v>27599927</v>
      </c>
      <c r="B502" t="s">
        <v>478</v>
      </c>
      <c r="C502">
        <v>2016</v>
      </c>
      <c r="D502" t="s">
        <v>79</v>
      </c>
      <c r="E502" t="s">
        <v>77</v>
      </c>
      <c r="F502" t="s">
        <v>64</v>
      </c>
      <c r="G502">
        <v>0</v>
      </c>
      <c r="H502">
        <v>203</v>
      </c>
      <c r="I502" s="1">
        <f t="shared" si="7"/>
        <v>0</v>
      </c>
      <c r="J502" t="s">
        <v>80</v>
      </c>
      <c r="K502" t="s">
        <v>81</v>
      </c>
      <c r="L502" t="s">
        <v>79</v>
      </c>
      <c r="M502" t="s">
        <v>199</v>
      </c>
      <c r="N502" t="s">
        <v>50</v>
      </c>
    </row>
    <row r="503" spans="1:14">
      <c r="A503">
        <v>27608974</v>
      </c>
      <c r="B503" t="s">
        <v>481</v>
      </c>
      <c r="C503">
        <v>2016</v>
      </c>
      <c r="D503" t="s">
        <v>79</v>
      </c>
      <c r="E503" t="s">
        <v>77</v>
      </c>
      <c r="F503" t="s">
        <v>64</v>
      </c>
      <c r="G503">
        <v>312</v>
      </c>
      <c r="H503">
        <v>1597</v>
      </c>
      <c r="I503" s="1">
        <f t="shared" si="7"/>
        <v>0.19536631183469</v>
      </c>
      <c r="J503" t="s">
        <v>80</v>
      </c>
      <c r="K503" t="s">
        <v>81</v>
      </c>
      <c r="L503" t="s">
        <v>79</v>
      </c>
      <c r="M503" t="s">
        <v>482</v>
      </c>
      <c r="N503" t="s">
        <v>50</v>
      </c>
    </row>
    <row r="504" spans="1:14">
      <c r="A504">
        <v>27657108</v>
      </c>
      <c r="B504" t="s">
        <v>483</v>
      </c>
      <c r="C504">
        <v>2016</v>
      </c>
      <c r="D504" t="s">
        <v>124</v>
      </c>
      <c r="E504" t="s">
        <v>77</v>
      </c>
      <c r="F504" t="s">
        <v>64</v>
      </c>
      <c r="G504">
        <v>7</v>
      </c>
      <c r="H504">
        <v>134</v>
      </c>
      <c r="I504" s="1">
        <f t="shared" si="7"/>
        <v>0.0522388059701493</v>
      </c>
      <c r="J504" t="s">
        <v>125</v>
      </c>
      <c r="K504" t="s">
        <v>126</v>
      </c>
      <c r="L504" t="s">
        <v>124</v>
      </c>
      <c r="M504" t="s">
        <v>258</v>
      </c>
      <c r="N504" t="s">
        <v>50</v>
      </c>
    </row>
    <row r="505" spans="1:14">
      <c r="A505">
        <v>27732880</v>
      </c>
      <c r="B505" t="s">
        <v>484</v>
      </c>
      <c r="C505">
        <v>2016</v>
      </c>
      <c r="D505" t="s">
        <v>124</v>
      </c>
      <c r="E505" t="s">
        <v>27</v>
      </c>
      <c r="F505" t="s">
        <v>28</v>
      </c>
      <c r="G505">
        <v>0</v>
      </c>
      <c r="H505">
        <v>65</v>
      </c>
      <c r="I505" s="1">
        <f t="shared" si="7"/>
        <v>0</v>
      </c>
      <c r="J505" t="s">
        <v>125</v>
      </c>
      <c r="K505" t="s">
        <v>126</v>
      </c>
      <c r="L505" t="s">
        <v>124</v>
      </c>
      <c r="M505" t="s">
        <v>68</v>
      </c>
      <c r="N505" t="s">
        <v>30</v>
      </c>
    </row>
    <row r="506" spans="1:14">
      <c r="A506">
        <v>27732880</v>
      </c>
      <c r="B506" t="s">
        <v>484</v>
      </c>
      <c r="C506">
        <v>2016</v>
      </c>
      <c r="D506" t="s">
        <v>124</v>
      </c>
      <c r="E506" t="s">
        <v>16</v>
      </c>
      <c r="F506" t="s">
        <v>28</v>
      </c>
      <c r="G506">
        <v>0</v>
      </c>
      <c r="H506">
        <v>208</v>
      </c>
      <c r="I506" s="1">
        <f t="shared" si="7"/>
        <v>0</v>
      </c>
      <c r="J506" t="s">
        <v>125</v>
      </c>
      <c r="K506" t="s">
        <v>126</v>
      </c>
      <c r="L506" t="s">
        <v>124</v>
      </c>
      <c r="M506" t="s">
        <v>68</v>
      </c>
      <c r="N506" t="s">
        <v>30</v>
      </c>
    </row>
    <row r="507" spans="1:14">
      <c r="A507">
        <v>27732880</v>
      </c>
      <c r="B507" t="s">
        <v>484</v>
      </c>
      <c r="C507">
        <v>2016</v>
      </c>
      <c r="D507" t="s">
        <v>124</v>
      </c>
      <c r="E507" t="s">
        <v>77</v>
      </c>
      <c r="F507" t="s">
        <v>28</v>
      </c>
      <c r="G507">
        <v>119</v>
      </c>
      <c r="H507">
        <v>519</v>
      </c>
      <c r="I507" s="1">
        <f t="shared" si="7"/>
        <v>0.229287090558767</v>
      </c>
      <c r="J507" t="s">
        <v>125</v>
      </c>
      <c r="K507" t="s">
        <v>126</v>
      </c>
      <c r="L507" t="s">
        <v>124</v>
      </c>
      <c r="M507" t="s">
        <v>68</v>
      </c>
      <c r="N507" t="s">
        <v>30</v>
      </c>
    </row>
    <row r="508" spans="1:14">
      <c r="A508">
        <v>27796367</v>
      </c>
      <c r="B508" t="s">
        <v>453</v>
      </c>
      <c r="C508">
        <v>2016</v>
      </c>
      <c r="D508" t="s">
        <v>110</v>
      </c>
      <c r="E508" t="s">
        <v>51</v>
      </c>
      <c r="F508" t="s">
        <v>28</v>
      </c>
      <c r="G508">
        <v>302</v>
      </c>
      <c r="H508">
        <v>469</v>
      </c>
      <c r="I508" s="1">
        <f t="shared" si="7"/>
        <v>0.643923240938166</v>
      </c>
      <c r="J508" t="s">
        <v>43</v>
      </c>
      <c r="K508" t="s">
        <v>44</v>
      </c>
      <c r="L508" t="s">
        <v>110</v>
      </c>
      <c r="M508" t="s">
        <v>243</v>
      </c>
      <c r="N508" t="s">
        <v>50</v>
      </c>
    </row>
    <row r="509" spans="1:14">
      <c r="A509">
        <v>27796367</v>
      </c>
      <c r="B509" t="s">
        <v>453</v>
      </c>
      <c r="C509">
        <v>2016</v>
      </c>
      <c r="D509" t="s">
        <v>110</v>
      </c>
      <c r="E509" t="s">
        <v>51</v>
      </c>
      <c r="F509" t="s">
        <v>485</v>
      </c>
      <c r="G509">
        <v>29</v>
      </c>
      <c r="H509">
        <v>154</v>
      </c>
      <c r="I509" s="1">
        <f t="shared" si="7"/>
        <v>0.188311688311688</v>
      </c>
      <c r="J509" t="s">
        <v>43</v>
      </c>
      <c r="K509" t="s">
        <v>44</v>
      </c>
      <c r="L509" t="s">
        <v>110</v>
      </c>
      <c r="M509" t="s">
        <v>243</v>
      </c>
      <c r="N509" t="s">
        <v>50</v>
      </c>
    </row>
    <row r="510" spans="1:14">
      <c r="A510">
        <v>27893287</v>
      </c>
      <c r="B510" t="s">
        <v>486</v>
      </c>
      <c r="C510">
        <v>2017</v>
      </c>
      <c r="D510" t="s">
        <v>124</v>
      </c>
      <c r="E510" t="s">
        <v>77</v>
      </c>
      <c r="F510" t="s">
        <v>64</v>
      </c>
      <c r="G510">
        <v>47</v>
      </c>
      <c r="H510">
        <v>216</v>
      </c>
      <c r="I510" s="1">
        <f t="shared" si="7"/>
        <v>0.217592592592593</v>
      </c>
      <c r="J510" t="s">
        <v>125</v>
      </c>
      <c r="K510" t="s">
        <v>126</v>
      </c>
      <c r="L510" t="s">
        <v>124</v>
      </c>
      <c r="M510" t="s">
        <v>318</v>
      </c>
      <c r="N510" t="s">
        <v>50</v>
      </c>
    </row>
    <row r="511" spans="1:14">
      <c r="A511">
        <v>27983488</v>
      </c>
      <c r="B511" t="s">
        <v>487</v>
      </c>
      <c r="C511">
        <v>2017</v>
      </c>
      <c r="D511" t="s">
        <v>124</v>
      </c>
      <c r="E511" t="s">
        <v>77</v>
      </c>
      <c r="F511" t="s">
        <v>64</v>
      </c>
      <c r="G511">
        <v>39</v>
      </c>
      <c r="H511">
        <v>232</v>
      </c>
      <c r="I511" s="1">
        <f t="shared" si="7"/>
        <v>0.168103448275862</v>
      </c>
      <c r="J511" t="s">
        <v>125</v>
      </c>
      <c r="K511" t="s">
        <v>126</v>
      </c>
      <c r="L511" t="s">
        <v>124</v>
      </c>
      <c r="M511" t="s">
        <v>49</v>
      </c>
      <c r="N511" t="s">
        <v>50</v>
      </c>
    </row>
    <row r="512" spans="1:14">
      <c r="A512">
        <v>28321029</v>
      </c>
      <c r="B512" t="s">
        <v>488</v>
      </c>
      <c r="C512">
        <v>2017</v>
      </c>
      <c r="D512" t="s">
        <v>195</v>
      </c>
      <c r="E512" t="s">
        <v>77</v>
      </c>
      <c r="F512" t="s">
        <v>28</v>
      </c>
      <c r="G512">
        <v>13</v>
      </c>
      <c r="H512">
        <v>385</v>
      </c>
      <c r="I512" s="1">
        <f t="shared" si="7"/>
        <v>0.0337662337662338</v>
      </c>
      <c r="J512" t="s">
        <v>85</v>
      </c>
      <c r="K512" t="s">
        <v>86</v>
      </c>
      <c r="L512" t="s">
        <v>195</v>
      </c>
      <c r="M512" t="s">
        <v>68</v>
      </c>
      <c r="N512" t="s">
        <v>30</v>
      </c>
    </row>
    <row r="513" spans="1:14">
      <c r="A513">
        <v>2832622</v>
      </c>
      <c r="B513" t="s">
        <v>489</v>
      </c>
      <c r="C513">
        <v>1988</v>
      </c>
      <c r="D513" t="s">
        <v>15</v>
      </c>
      <c r="E513" t="s">
        <v>77</v>
      </c>
      <c r="F513" t="s">
        <v>17</v>
      </c>
      <c r="G513">
        <v>0</v>
      </c>
      <c r="H513">
        <v>20</v>
      </c>
      <c r="I513" s="1">
        <f t="shared" si="7"/>
        <v>0</v>
      </c>
      <c r="J513" t="s">
        <v>18</v>
      </c>
      <c r="K513" t="s">
        <v>19</v>
      </c>
      <c r="L513" t="s">
        <v>15</v>
      </c>
      <c r="M513" t="s">
        <v>75</v>
      </c>
      <c r="N513" t="s">
        <v>50</v>
      </c>
    </row>
    <row r="514" spans="1:14">
      <c r="A514">
        <v>28399176</v>
      </c>
      <c r="B514" t="s">
        <v>490</v>
      </c>
      <c r="C514">
        <v>2017</v>
      </c>
      <c r="D514" t="s">
        <v>15</v>
      </c>
      <c r="E514" t="s">
        <v>48</v>
      </c>
      <c r="F514" t="s">
        <v>128</v>
      </c>
      <c r="G514">
        <v>0</v>
      </c>
      <c r="H514">
        <v>10</v>
      </c>
      <c r="I514" s="1">
        <f t="shared" si="7"/>
        <v>0</v>
      </c>
      <c r="J514" t="s">
        <v>18</v>
      </c>
      <c r="K514" t="s">
        <v>19</v>
      </c>
      <c r="L514" t="s">
        <v>15</v>
      </c>
      <c r="M514" t="s">
        <v>49</v>
      </c>
      <c r="N514" t="s">
        <v>50</v>
      </c>
    </row>
    <row r="515" spans="1:14">
      <c r="A515">
        <v>28399176</v>
      </c>
      <c r="B515" t="s">
        <v>490</v>
      </c>
      <c r="C515">
        <v>2017</v>
      </c>
      <c r="D515" t="s">
        <v>22</v>
      </c>
      <c r="E515" t="s">
        <v>48</v>
      </c>
      <c r="F515" t="s">
        <v>17</v>
      </c>
      <c r="G515">
        <v>0</v>
      </c>
      <c r="H515">
        <v>2</v>
      </c>
      <c r="I515" s="1">
        <f t="shared" ref="I515:I578" si="8">G515/H515</f>
        <v>0</v>
      </c>
      <c r="J515" t="s">
        <v>23</v>
      </c>
      <c r="K515" t="s">
        <v>24</v>
      </c>
      <c r="L515" t="s">
        <v>22</v>
      </c>
      <c r="M515" t="s">
        <v>49</v>
      </c>
      <c r="N515" t="s">
        <v>50</v>
      </c>
    </row>
    <row r="516" spans="1:14">
      <c r="A516">
        <v>28399176</v>
      </c>
      <c r="B516" t="s">
        <v>490</v>
      </c>
      <c r="C516">
        <v>2017</v>
      </c>
      <c r="D516" t="s">
        <v>15</v>
      </c>
      <c r="E516" t="s">
        <v>51</v>
      </c>
      <c r="F516" t="s">
        <v>128</v>
      </c>
      <c r="G516">
        <v>0</v>
      </c>
      <c r="H516">
        <v>79</v>
      </c>
      <c r="I516" s="1">
        <f t="shared" si="8"/>
        <v>0</v>
      </c>
      <c r="J516" t="s">
        <v>18</v>
      </c>
      <c r="K516" t="s">
        <v>19</v>
      </c>
      <c r="L516" t="s">
        <v>15</v>
      </c>
      <c r="M516" t="s">
        <v>49</v>
      </c>
      <c r="N516" t="s">
        <v>50</v>
      </c>
    </row>
    <row r="517" spans="1:14">
      <c r="A517">
        <v>28399176</v>
      </c>
      <c r="B517" t="s">
        <v>490</v>
      </c>
      <c r="C517">
        <v>2017</v>
      </c>
      <c r="D517" t="s">
        <v>22</v>
      </c>
      <c r="E517" t="s">
        <v>51</v>
      </c>
      <c r="F517" t="s">
        <v>17</v>
      </c>
      <c r="G517">
        <v>1</v>
      </c>
      <c r="H517">
        <v>16</v>
      </c>
      <c r="I517" s="1">
        <f t="shared" si="8"/>
        <v>0.0625</v>
      </c>
      <c r="J517" t="s">
        <v>23</v>
      </c>
      <c r="K517" t="s">
        <v>24</v>
      </c>
      <c r="L517" t="s">
        <v>22</v>
      </c>
      <c r="M517" t="s">
        <v>49</v>
      </c>
      <c r="N517" t="s">
        <v>50</v>
      </c>
    </row>
    <row r="518" spans="1:14">
      <c r="A518">
        <v>28399176</v>
      </c>
      <c r="B518" t="s">
        <v>490</v>
      </c>
      <c r="C518">
        <v>2017</v>
      </c>
      <c r="D518" t="s">
        <v>491</v>
      </c>
      <c r="E518" t="s">
        <v>51</v>
      </c>
      <c r="F518" t="s">
        <v>64</v>
      </c>
      <c r="G518">
        <v>0</v>
      </c>
      <c r="H518">
        <v>9</v>
      </c>
      <c r="I518" s="1">
        <f t="shared" si="8"/>
        <v>0</v>
      </c>
      <c r="J518" t="s">
        <v>94</v>
      </c>
      <c r="K518" t="s">
        <v>95</v>
      </c>
      <c r="L518" t="s">
        <v>491</v>
      </c>
      <c r="M518" t="s">
        <v>49</v>
      </c>
      <c r="N518" t="s">
        <v>50</v>
      </c>
    </row>
    <row r="519" spans="1:14">
      <c r="A519">
        <v>28497542</v>
      </c>
      <c r="B519" t="s">
        <v>492</v>
      </c>
      <c r="C519">
        <v>2018</v>
      </c>
      <c r="D519" t="s">
        <v>124</v>
      </c>
      <c r="E519" t="s">
        <v>77</v>
      </c>
      <c r="F519" t="s">
        <v>64</v>
      </c>
      <c r="G519">
        <v>40</v>
      </c>
      <c r="H519">
        <v>291</v>
      </c>
      <c r="I519" s="1">
        <f t="shared" si="8"/>
        <v>0.13745704467354</v>
      </c>
      <c r="J519" t="s">
        <v>125</v>
      </c>
      <c r="K519" t="s">
        <v>126</v>
      </c>
      <c r="L519" t="s">
        <v>124</v>
      </c>
      <c r="M519" t="s">
        <v>75</v>
      </c>
      <c r="N519" t="s">
        <v>50</v>
      </c>
    </row>
    <row r="520" spans="1:14">
      <c r="A520">
        <v>28581363</v>
      </c>
      <c r="B520" t="s">
        <v>493</v>
      </c>
      <c r="C520">
        <v>2017</v>
      </c>
      <c r="D520" t="s">
        <v>110</v>
      </c>
      <c r="E520" t="s">
        <v>16</v>
      </c>
      <c r="F520" t="s">
        <v>64</v>
      </c>
      <c r="G520">
        <v>0</v>
      </c>
      <c r="H520">
        <v>48</v>
      </c>
      <c r="I520" s="1">
        <f t="shared" si="8"/>
        <v>0</v>
      </c>
      <c r="J520" t="s">
        <v>43</v>
      </c>
      <c r="K520" t="s">
        <v>44</v>
      </c>
      <c r="L520" t="s">
        <v>110</v>
      </c>
      <c r="M520" t="s">
        <v>49</v>
      </c>
      <c r="N520" t="s">
        <v>50</v>
      </c>
    </row>
    <row r="521" spans="1:14">
      <c r="A521">
        <v>28581363</v>
      </c>
      <c r="B521" t="s">
        <v>493</v>
      </c>
      <c r="C521">
        <v>2017</v>
      </c>
      <c r="D521" t="s">
        <v>110</v>
      </c>
      <c r="E521" t="s">
        <v>51</v>
      </c>
      <c r="F521" t="s">
        <v>64</v>
      </c>
      <c r="G521">
        <v>11</v>
      </c>
      <c r="H521">
        <v>97</v>
      </c>
      <c r="I521" s="1">
        <f t="shared" si="8"/>
        <v>0.11340206185567</v>
      </c>
      <c r="J521" t="s">
        <v>43</v>
      </c>
      <c r="K521" t="s">
        <v>44</v>
      </c>
      <c r="L521" t="s">
        <v>110</v>
      </c>
      <c r="M521" t="s">
        <v>49</v>
      </c>
      <c r="N521" t="s">
        <v>50</v>
      </c>
    </row>
    <row r="522" spans="1:14">
      <c r="A522">
        <v>28581363</v>
      </c>
      <c r="B522" t="s">
        <v>493</v>
      </c>
      <c r="C522">
        <v>2017</v>
      </c>
      <c r="D522" t="s">
        <v>22</v>
      </c>
      <c r="E522" t="s">
        <v>51</v>
      </c>
      <c r="F522" t="s">
        <v>64</v>
      </c>
      <c r="G522">
        <v>34</v>
      </c>
      <c r="H522">
        <v>97</v>
      </c>
      <c r="I522" s="1">
        <f t="shared" si="8"/>
        <v>0.350515463917526</v>
      </c>
      <c r="J522" t="s">
        <v>23</v>
      </c>
      <c r="K522" t="s">
        <v>24</v>
      </c>
      <c r="L522" t="s">
        <v>22</v>
      </c>
      <c r="M522" t="s">
        <v>49</v>
      </c>
      <c r="N522" t="s">
        <v>50</v>
      </c>
    </row>
    <row r="523" spans="1:14">
      <c r="A523">
        <v>28581363</v>
      </c>
      <c r="B523" t="s">
        <v>493</v>
      </c>
      <c r="C523">
        <v>2017</v>
      </c>
      <c r="D523" t="s">
        <v>22</v>
      </c>
      <c r="E523" t="s">
        <v>16</v>
      </c>
      <c r="F523" t="s">
        <v>64</v>
      </c>
      <c r="G523">
        <v>22</v>
      </c>
      <c r="H523">
        <v>48</v>
      </c>
      <c r="I523" s="1">
        <f t="shared" si="8"/>
        <v>0.458333333333333</v>
      </c>
      <c r="J523" t="s">
        <v>23</v>
      </c>
      <c r="K523" t="s">
        <v>24</v>
      </c>
      <c r="L523" t="s">
        <v>22</v>
      </c>
      <c r="M523" t="s">
        <v>49</v>
      </c>
      <c r="N523" t="s">
        <v>50</v>
      </c>
    </row>
    <row r="524" spans="1:14">
      <c r="A524">
        <v>28622856</v>
      </c>
      <c r="B524" t="s">
        <v>494</v>
      </c>
      <c r="C524">
        <v>2017</v>
      </c>
      <c r="D524" t="s">
        <v>15</v>
      </c>
      <c r="E524" t="s">
        <v>77</v>
      </c>
      <c r="F524" t="s">
        <v>28</v>
      </c>
      <c r="G524">
        <v>29</v>
      </c>
      <c r="H524">
        <v>45</v>
      </c>
      <c r="I524" s="1">
        <f t="shared" si="8"/>
        <v>0.644444444444444</v>
      </c>
      <c r="J524" t="s">
        <v>18</v>
      </c>
      <c r="K524" t="s">
        <v>19</v>
      </c>
      <c r="L524" t="s">
        <v>15</v>
      </c>
      <c r="M524" t="s">
        <v>20</v>
      </c>
      <c r="N524" t="s">
        <v>21</v>
      </c>
    </row>
    <row r="525" spans="1:14">
      <c r="A525">
        <v>28622856</v>
      </c>
      <c r="B525" t="s">
        <v>494</v>
      </c>
      <c r="C525">
        <v>2017</v>
      </c>
      <c r="D525" t="s">
        <v>82</v>
      </c>
      <c r="E525" t="s">
        <v>77</v>
      </c>
      <c r="F525" t="s">
        <v>137</v>
      </c>
      <c r="G525">
        <v>16</v>
      </c>
      <c r="H525">
        <v>46</v>
      </c>
      <c r="I525" s="1">
        <f t="shared" si="8"/>
        <v>0.347826086956522</v>
      </c>
      <c r="J525" t="s">
        <v>38</v>
      </c>
      <c r="K525" t="s">
        <v>39</v>
      </c>
      <c r="L525" t="s">
        <v>82</v>
      </c>
      <c r="M525" t="s">
        <v>20</v>
      </c>
      <c r="N525" t="s">
        <v>21</v>
      </c>
    </row>
    <row r="526" spans="1:14">
      <c r="A526">
        <v>28622856</v>
      </c>
      <c r="B526" t="s">
        <v>494</v>
      </c>
      <c r="C526">
        <v>2017</v>
      </c>
      <c r="D526" t="s">
        <v>79</v>
      </c>
      <c r="E526" t="s">
        <v>77</v>
      </c>
      <c r="F526" t="s">
        <v>28</v>
      </c>
      <c r="G526">
        <v>6</v>
      </c>
      <c r="H526">
        <v>46</v>
      </c>
      <c r="I526" s="1">
        <f t="shared" si="8"/>
        <v>0.130434782608696</v>
      </c>
      <c r="J526" t="s">
        <v>80</v>
      </c>
      <c r="K526" t="s">
        <v>81</v>
      </c>
      <c r="L526" t="s">
        <v>79</v>
      </c>
      <c r="M526" t="s">
        <v>20</v>
      </c>
      <c r="N526" t="s">
        <v>21</v>
      </c>
    </row>
    <row r="527" spans="1:14">
      <c r="A527">
        <v>28622856</v>
      </c>
      <c r="B527" t="s">
        <v>494</v>
      </c>
      <c r="C527">
        <v>2017</v>
      </c>
      <c r="D527" t="s">
        <v>325</v>
      </c>
      <c r="E527" t="s">
        <v>77</v>
      </c>
      <c r="F527" t="s">
        <v>28</v>
      </c>
      <c r="G527">
        <v>1</v>
      </c>
      <c r="H527">
        <v>44</v>
      </c>
      <c r="I527" s="1">
        <f t="shared" si="8"/>
        <v>0.0227272727272727</v>
      </c>
      <c r="J527" t="s">
        <v>80</v>
      </c>
      <c r="K527" t="s">
        <v>113</v>
      </c>
      <c r="L527" t="s">
        <v>325</v>
      </c>
      <c r="M527" t="s">
        <v>20</v>
      </c>
      <c r="N527" t="s">
        <v>21</v>
      </c>
    </row>
    <row r="528" spans="1:14">
      <c r="A528">
        <v>28622856</v>
      </c>
      <c r="B528" t="s">
        <v>494</v>
      </c>
      <c r="C528">
        <v>2017</v>
      </c>
      <c r="D528" t="s">
        <v>112</v>
      </c>
      <c r="E528" t="s">
        <v>77</v>
      </c>
      <c r="F528" t="s">
        <v>28</v>
      </c>
      <c r="G528">
        <v>0</v>
      </c>
      <c r="H528">
        <v>44</v>
      </c>
      <c r="I528" s="1">
        <f t="shared" si="8"/>
        <v>0</v>
      </c>
      <c r="J528" t="s">
        <v>80</v>
      </c>
      <c r="K528" t="s">
        <v>113</v>
      </c>
      <c r="L528" t="s">
        <v>112</v>
      </c>
      <c r="M528" t="s">
        <v>20</v>
      </c>
      <c r="N528" t="s">
        <v>21</v>
      </c>
    </row>
    <row r="529" spans="1:14">
      <c r="A529">
        <v>28622856</v>
      </c>
      <c r="B529" t="s">
        <v>494</v>
      </c>
      <c r="C529">
        <v>2017</v>
      </c>
      <c r="D529" t="s">
        <v>93</v>
      </c>
      <c r="E529" t="s">
        <v>77</v>
      </c>
      <c r="F529" t="s">
        <v>28</v>
      </c>
      <c r="G529">
        <v>16</v>
      </c>
      <c r="H529">
        <v>44</v>
      </c>
      <c r="I529" s="1">
        <f t="shared" si="8"/>
        <v>0.363636363636364</v>
      </c>
      <c r="J529" t="s">
        <v>94</v>
      </c>
      <c r="K529" t="s">
        <v>95</v>
      </c>
      <c r="L529" t="s">
        <v>93</v>
      </c>
      <c r="M529" t="s">
        <v>20</v>
      </c>
      <c r="N529" t="s">
        <v>21</v>
      </c>
    </row>
    <row r="530" spans="1:14">
      <c r="A530">
        <v>28622856</v>
      </c>
      <c r="B530" t="s">
        <v>494</v>
      </c>
      <c r="C530">
        <v>2017</v>
      </c>
      <c r="D530" t="s">
        <v>195</v>
      </c>
      <c r="E530" t="s">
        <v>77</v>
      </c>
      <c r="F530" t="s">
        <v>28</v>
      </c>
      <c r="G530">
        <v>0</v>
      </c>
      <c r="H530">
        <v>47</v>
      </c>
      <c r="I530" s="1">
        <f t="shared" si="8"/>
        <v>0</v>
      </c>
      <c r="J530" t="s">
        <v>85</v>
      </c>
      <c r="K530" t="s">
        <v>86</v>
      </c>
      <c r="L530" t="s">
        <v>195</v>
      </c>
      <c r="M530" t="s">
        <v>20</v>
      </c>
      <c r="N530" t="s">
        <v>21</v>
      </c>
    </row>
    <row r="531" spans="1:14">
      <c r="A531">
        <v>28634359</v>
      </c>
      <c r="B531" t="s">
        <v>495</v>
      </c>
      <c r="C531">
        <v>2017</v>
      </c>
      <c r="D531" t="s">
        <v>477</v>
      </c>
      <c r="E531" t="s">
        <v>167</v>
      </c>
      <c r="F531" t="s">
        <v>64</v>
      </c>
      <c r="G531">
        <v>1</v>
      </c>
      <c r="H531">
        <v>13</v>
      </c>
      <c r="I531" s="1">
        <f t="shared" si="8"/>
        <v>0.0769230769230769</v>
      </c>
      <c r="J531" t="s">
        <v>245</v>
      </c>
      <c r="K531" t="s">
        <v>72</v>
      </c>
      <c r="L531" t="s">
        <v>477</v>
      </c>
      <c r="M531" t="s">
        <v>496</v>
      </c>
      <c r="N531" t="s">
        <v>50</v>
      </c>
    </row>
    <row r="532" spans="1:14">
      <c r="A532">
        <v>28657857</v>
      </c>
      <c r="B532" t="s">
        <v>440</v>
      </c>
      <c r="C532">
        <v>2017</v>
      </c>
      <c r="D532" t="s">
        <v>115</v>
      </c>
      <c r="E532" t="s">
        <v>51</v>
      </c>
      <c r="F532" t="s">
        <v>64</v>
      </c>
      <c r="G532">
        <v>0</v>
      </c>
      <c r="H532">
        <v>25</v>
      </c>
      <c r="I532" s="1">
        <f t="shared" si="8"/>
        <v>0</v>
      </c>
      <c r="J532" t="s">
        <v>38</v>
      </c>
      <c r="K532" t="s">
        <v>39</v>
      </c>
      <c r="L532" t="s">
        <v>115</v>
      </c>
      <c r="M532" t="s">
        <v>172</v>
      </c>
      <c r="N532" t="s">
        <v>50</v>
      </c>
    </row>
    <row r="533" spans="1:14">
      <c r="A533">
        <v>28715293</v>
      </c>
      <c r="B533" t="s">
        <v>497</v>
      </c>
      <c r="C533">
        <v>2017</v>
      </c>
      <c r="D533" t="s">
        <v>22</v>
      </c>
      <c r="E533" t="s">
        <v>16</v>
      </c>
      <c r="F533" t="s">
        <v>17</v>
      </c>
      <c r="G533">
        <v>7</v>
      </c>
      <c r="H533">
        <v>100</v>
      </c>
      <c r="I533" s="1">
        <f t="shared" si="8"/>
        <v>0.07</v>
      </c>
      <c r="J533" t="s">
        <v>23</v>
      </c>
      <c r="K533" t="s">
        <v>24</v>
      </c>
      <c r="L533" t="s">
        <v>22</v>
      </c>
      <c r="M533" t="s">
        <v>68</v>
      </c>
      <c r="N533" t="s">
        <v>30</v>
      </c>
    </row>
    <row r="534" spans="1:14">
      <c r="A534">
        <v>28715293</v>
      </c>
      <c r="B534" t="s">
        <v>497</v>
      </c>
      <c r="C534">
        <v>2017</v>
      </c>
      <c r="D534" t="s">
        <v>114</v>
      </c>
      <c r="E534" t="s">
        <v>16</v>
      </c>
      <c r="F534" t="s">
        <v>17</v>
      </c>
      <c r="G534">
        <v>0</v>
      </c>
      <c r="H534">
        <v>100</v>
      </c>
      <c r="I534" s="1">
        <f t="shared" si="8"/>
        <v>0</v>
      </c>
      <c r="J534" t="s">
        <v>23</v>
      </c>
      <c r="K534" t="s">
        <v>24</v>
      </c>
      <c r="L534" t="s">
        <v>114</v>
      </c>
      <c r="M534" t="s">
        <v>68</v>
      </c>
      <c r="N534" t="s">
        <v>30</v>
      </c>
    </row>
    <row r="535" spans="1:14">
      <c r="A535">
        <v>28715293</v>
      </c>
      <c r="B535" t="s">
        <v>497</v>
      </c>
      <c r="C535">
        <v>2017</v>
      </c>
      <c r="D535" t="s">
        <v>112</v>
      </c>
      <c r="E535" t="s">
        <v>16</v>
      </c>
      <c r="F535" t="s">
        <v>17</v>
      </c>
      <c r="G535">
        <v>7</v>
      </c>
      <c r="H535">
        <v>100</v>
      </c>
      <c r="I535" s="1">
        <f t="shared" si="8"/>
        <v>0.07</v>
      </c>
      <c r="J535" t="s">
        <v>80</v>
      </c>
      <c r="K535" t="s">
        <v>113</v>
      </c>
      <c r="L535" t="s">
        <v>112</v>
      </c>
      <c r="M535" t="s">
        <v>68</v>
      </c>
      <c r="N535" t="s">
        <v>30</v>
      </c>
    </row>
    <row r="536" spans="1:14">
      <c r="A536">
        <v>28715293</v>
      </c>
      <c r="B536" t="s">
        <v>497</v>
      </c>
      <c r="C536">
        <v>2017</v>
      </c>
      <c r="D536" t="s">
        <v>110</v>
      </c>
      <c r="E536" t="s">
        <v>16</v>
      </c>
      <c r="F536" t="s">
        <v>17</v>
      </c>
      <c r="G536">
        <v>7</v>
      </c>
      <c r="H536">
        <v>100</v>
      </c>
      <c r="I536" s="1">
        <f t="shared" si="8"/>
        <v>0.07</v>
      </c>
      <c r="J536" t="s">
        <v>43</v>
      </c>
      <c r="K536" t="s">
        <v>44</v>
      </c>
      <c r="L536" t="s">
        <v>110</v>
      </c>
      <c r="M536" t="s">
        <v>68</v>
      </c>
      <c r="N536" t="s">
        <v>30</v>
      </c>
    </row>
    <row r="537" spans="1:14">
      <c r="A537">
        <v>28727516</v>
      </c>
      <c r="B537" t="s">
        <v>498</v>
      </c>
      <c r="C537">
        <v>2017</v>
      </c>
      <c r="D537" t="s">
        <v>57</v>
      </c>
      <c r="E537" t="s">
        <v>77</v>
      </c>
      <c r="F537" t="s">
        <v>28</v>
      </c>
      <c r="G537">
        <v>17</v>
      </c>
      <c r="H537">
        <v>412</v>
      </c>
      <c r="I537" s="1">
        <f t="shared" si="8"/>
        <v>0.0412621359223301</v>
      </c>
      <c r="J537" t="s">
        <v>55</v>
      </c>
      <c r="K537" t="s">
        <v>56</v>
      </c>
      <c r="L537" t="s">
        <v>57</v>
      </c>
      <c r="M537" t="s">
        <v>199</v>
      </c>
      <c r="N537" t="s">
        <v>50</v>
      </c>
    </row>
    <row r="538" spans="1:14">
      <c r="A538">
        <v>28758619</v>
      </c>
      <c r="B538" t="s">
        <v>499</v>
      </c>
      <c r="C538">
        <v>2017</v>
      </c>
      <c r="D538" t="s">
        <v>500</v>
      </c>
      <c r="E538" t="s">
        <v>77</v>
      </c>
      <c r="F538" t="s">
        <v>64</v>
      </c>
      <c r="G538">
        <v>1</v>
      </c>
      <c r="H538">
        <v>1</v>
      </c>
      <c r="I538" s="1">
        <f t="shared" si="8"/>
        <v>1</v>
      </c>
      <c r="J538" t="s">
        <v>143</v>
      </c>
      <c r="K538" t="s">
        <v>144</v>
      </c>
      <c r="L538" t="s">
        <v>500</v>
      </c>
      <c r="M538" t="s">
        <v>49</v>
      </c>
      <c r="N538" t="s">
        <v>50</v>
      </c>
    </row>
    <row r="539" spans="1:14">
      <c r="A539">
        <v>28758619</v>
      </c>
      <c r="B539" t="s">
        <v>499</v>
      </c>
      <c r="C539">
        <v>2017</v>
      </c>
      <c r="D539" t="s">
        <v>106</v>
      </c>
      <c r="E539" t="s">
        <v>77</v>
      </c>
      <c r="F539" t="s">
        <v>64</v>
      </c>
      <c r="G539">
        <v>0</v>
      </c>
      <c r="H539">
        <v>1</v>
      </c>
      <c r="I539" s="1">
        <f t="shared" si="8"/>
        <v>0</v>
      </c>
      <c r="J539" t="s">
        <v>35</v>
      </c>
      <c r="K539" t="s">
        <v>107</v>
      </c>
      <c r="L539" t="s">
        <v>106</v>
      </c>
      <c r="M539" t="s">
        <v>49</v>
      </c>
      <c r="N539" t="s">
        <v>50</v>
      </c>
    </row>
    <row r="540" spans="1:14">
      <c r="A540">
        <v>28785024</v>
      </c>
      <c r="B540" t="s">
        <v>501</v>
      </c>
      <c r="C540">
        <v>2017</v>
      </c>
      <c r="D540" t="s">
        <v>195</v>
      </c>
      <c r="E540" t="s">
        <v>48</v>
      </c>
      <c r="F540" t="s">
        <v>64</v>
      </c>
      <c r="G540">
        <v>106</v>
      </c>
      <c r="H540">
        <v>256</v>
      </c>
      <c r="I540" s="1">
        <f t="shared" si="8"/>
        <v>0.4140625</v>
      </c>
      <c r="J540" t="s">
        <v>85</v>
      </c>
      <c r="K540" t="s">
        <v>86</v>
      </c>
      <c r="L540" t="s">
        <v>195</v>
      </c>
      <c r="M540" t="s">
        <v>29</v>
      </c>
      <c r="N540" t="s">
        <v>30</v>
      </c>
    </row>
    <row r="541" spans="1:14">
      <c r="A541">
        <v>28810858</v>
      </c>
      <c r="B541" t="s">
        <v>502</v>
      </c>
      <c r="C541">
        <v>2017</v>
      </c>
      <c r="D541" t="s">
        <v>22</v>
      </c>
      <c r="E541" t="s">
        <v>48</v>
      </c>
      <c r="F541" t="s">
        <v>64</v>
      </c>
      <c r="G541">
        <v>5</v>
      </c>
      <c r="H541">
        <v>12</v>
      </c>
      <c r="I541" s="1">
        <f t="shared" si="8"/>
        <v>0.416666666666667</v>
      </c>
      <c r="J541" t="s">
        <v>23</v>
      </c>
      <c r="K541" t="s">
        <v>24</v>
      </c>
      <c r="L541" t="s">
        <v>22</v>
      </c>
      <c r="M541" t="s">
        <v>29</v>
      </c>
      <c r="N541" t="s">
        <v>30</v>
      </c>
    </row>
    <row r="542" spans="1:14">
      <c r="A542">
        <v>28820385</v>
      </c>
      <c r="B542" t="s">
        <v>503</v>
      </c>
      <c r="C542">
        <v>2017</v>
      </c>
      <c r="D542" t="s">
        <v>45</v>
      </c>
      <c r="E542" t="s">
        <v>51</v>
      </c>
      <c r="F542" t="s">
        <v>128</v>
      </c>
      <c r="G542">
        <v>0</v>
      </c>
      <c r="H542">
        <v>1</v>
      </c>
      <c r="I542" s="1">
        <f t="shared" si="8"/>
        <v>0</v>
      </c>
      <c r="J542" t="s">
        <v>23</v>
      </c>
      <c r="K542" t="s">
        <v>46</v>
      </c>
      <c r="L542" t="s">
        <v>45</v>
      </c>
      <c r="M542" t="s">
        <v>75</v>
      </c>
      <c r="N542" t="s">
        <v>50</v>
      </c>
    </row>
    <row r="543" spans="1:14">
      <c r="A543">
        <v>28820385</v>
      </c>
      <c r="B543" t="s">
        <v>503</v>
      </c>
      <c r="C543">
        <v>2017</v>
      </c>
      <c r="D543" t="s">
        <v>15</v>
      </c>
      <c r="E543" t="s">
        <v>51</v>
      </c>
      <c r="F543" t="s">
        <v>64</v>
      </c>
      <c r="G543">
        <v>0</v>
      </c>
      <c r="H543">
        <v>1</v>
      </c>
      <c r="I543" s="1">
        <f t="shared" si="8"/>
        <v>0</v>
      </c>
      <c r="J543" t="s">
        <v>18</v>
      </c>
      <c r="K543" t="s">
        <v>19</v>
      </c>
      <c r="L543" t="s">
        <v>15</v>
      </c>
      <c r="M543" t="s">
        <v>75</v>
      </c>
      <c r="N543" t="s">
        <v>50</v>
      </c>
    </row>
    <row r="544" spans="1:14">
      <c r="A544">
        <v>28820385</v>
      </c>
      <c r="B544" t="s">
        <v>503</v>
      </c>
      <c r="C544">
        <v>2017</v>
      </c>
      <c r="D544" t="s">
        <v>22</v>
      </c>
      <c r="E544" t="s">
        <v>51</v>
      </c>
      <c r="F544" t="s">
        <v>64</v>
      </c>
      <c r="G544">
        <v>0</v>
      </c>
      <c r="H544">
        <v>1</v>
      </c>
      <c r="I544" s="1">
        <f t="shared" si="8"/>
        <v>0</v>
      </c>
      <c r="J544" t="s">
        <v>23</v>
      </c>
      <c r="K544" t="s">
        <v>24</v>
      </c>
      <c r="L544" t="s">
        <v>22</v>
      </c>
      <c r="M544" t="s">
        <v>75</v>
      </c>
      <c r="N544" t="s">
        <v>50</v>
      </c>
    </row>
    <row r="545" spans="1:14">
      <c r="A545">
        <v>28820385</v>
      </c>
      <c r="B545" t="s">
        <v>503</v>
      </c>
      <c r="C545">
        <v>2017</v>
      </c>
      <c r="D545" t="s">
        <v>277</v>
      </c>
      <c r="E545" t="s">
        <v>51</v>
      </c>
      <c r="F545" t="s">
        <v>64</v>
      </c>
      <c r="G545">
        <v>1</v>
      </c>
      <c r="H545">
        <v>1</v>
      </c>
      <c r="I545" s="1">
        <f t="shared" si="8"/>
        <v>1</v>
      </c>
      <c r="J545" t="s">
        <v>278</v>
      </c>
      <c r="K545" t="s">
        <v>279</v>
      </c>
      <c r="L545" t="s">
        <v>277</v>
      </c>
      <c r="M545" t="s">
        <v>75</v>
      </c>
      <c r="N545" t="s">
        <v>50</v>
      </c>
    </row>
    <row r="546" spans="1:14">
      <c r="A546">
        <v>28935611</v>
      </c>
      <c r="B546" t="s">
        <v>504</v>
      </c>
      <c r="C546">
        <v>2017</v>
      </c>
      <c r="D546" t="s">
        <v>115</v>
      </c>
      <c r="E546" t="s">
        <v>51</v>
      </c>
      <c r="F546" t="s">
        <v>64</v>
      </c>
      <c r="G546">
        <v>0</v>
      </c>
      <c r="H546">
        <v>22</v>
      </c>
      <c r="I546" s="1">
        <f t="shared" si="8"/>
        <v>0</v>
      </c>
      <c r="J546" t="s">
        <v>38</v>
      </c>
      <c r="K546" t="s">
        <v>39</v>
      </c>
      <c r="L546" t="s">
        <v>115</v>
      </c>
      <c r="M546" t="s">
        <v>96</v>
      </c>
      <c r="N546" t="s">
        <v>21</v>
      </c>
    </row>
    <row r="547" spans="1:14">
      <c r="A547">
        <v>28947335</v>
      </c>
      <c r="B547" t="s">
        <v>504</v>
      </c>
      <c r="C547">
        <v>2017</v>
      </c>
      <c r="D547" t="s">
        <v>115</v>
      </c>
      <c r="E547" t="s">
        <v>16</v>
      </c>
      <c r="F547" t="s">
        <v>64</v>
      </c>
      <c r="G547">
        <v>11</v>
      </c>
      <c r="H547">
        <v>14</v>
      </c>
      <c r="I547" s="1">
        <f t="shared" si="8"/>
        <v>0.785714285714286</v>
      </c>
      <c r="J547" t="s">
        <v>38</v>
      </c>
      <c r="K547" t="s">
        <v>39</v>
      </c>
      <c r="L547" t="s">
        <v>115</v>
      </c>
      <c r="M547" t="s">
        <v>96</v>
      </c>
      <c r="N547" t="s">
        <v>21</v>
      </c>
    </row>
    <row r="548" spans="1:14">
      <c r="A548">
        <v>28970577</v>
      </c>
      <c r="B548" t="s">
        <v>505</v>
      </c>
      <c r="C548">
        <v>2017</v>
      </c>
      <c r="D548" t="s">
        <v>249</v>
      </c>
      <c r="E548" t="s">
        <v>77</v>
      </c>
      <c r="F548" t="s">
        <v>64</v>
      </c>
      <c r="G548">
        <v>231</v>
      </c>
      <c r="H548">
        <v>6306</v>
      </c>
      <c r="I548" s="1">
        <f t="shared" si="8"/>
        <v>0.0366317792578497</v>
      </c>
      <c r="J548" t="s">
        <v>250</v>
      </c>
      <c r="K548" t="s">
        <v>251</v>
      </c>
      <c r="L548" t="s">
        <v>249</v>
      </c>
      <c r="M548" t="s">
        <v>416</v>
      </c>
      <c r="N548" t="s">
        <v>50</v>
      </c>
    </row>
    <row r="549" spans="1:14">
      <c r="A549">
        <v>28982018</v>
      </c>
      <c r="B549" t="s">
        <v>506</v>
      </c>
      <c r="C549">
        <v>2018</v>
      </c>
      <c r="D549" t="s">
        <v>15</v>
      </c>
      <c r="E549" t="s">
        <v>77</v>
      </c>
      <c r="F549" t="s">
        <v>64</v>
      </c>
      <c r="G549">
        <v>38</v>
      </c>
      <c r="H549">
        <v>549</v>
      </c>
      <c r="I549" s="1">
        <f t="shared" si="8"/>
        <v>0.0692167577413479</v>
      </c>
      <c r="J549" t="s">
        <v>18</v>
      </c>
      <c r="K549" t="s">
        <v>19</v>
      </c>
      <c r="L549" t="s">
        <v>15</v>
      </c>
      <c r="M549" t="s">
        <v>20</v>
      </c>
      <c r="N549" t="s">
        <v>21</v>
      </c>
    </row>
    <row r="550" spans="1:14">
      <c r="A550">
        <v>2900550</v>
      </c>
      <c r="B550" t="s">
        <v>507</v>
      </c>
      <c r="C550">
        <v>1988</v>
      </c>
      <c r="D550" t="s">
        <v>508</v>
      </c>
      <c r="E550" t="s">
        <v>167</v>
      </c>
      <c r="F550" t="s">
        <v>41</v>
      </c>
      <c r="G550">
        <v>0</v>
      </c>
      <c r="H550">
        <v>5</v>
      </c>
      <c r="I550" s="1">
        <f t="shared" si="8"/>
        <v>0</v>
      </c>
      <c r="J550" t="s">
        <v>231</v>
      </c>
      <c r="K550" t="s">
        <v>61</v>
      </c>
      <c r="L550" t="s">
        <v>172</v>
      </c>
      <c r="M550" t="s">
        <v>232</v>
      </c>
      <c r="N550" t="s">
        <v>50</v>
      </c>
    </row>
    <row r="551" spans="1:14">
      <c r="A551">
        <v>29027370</v>
      </c>
      <c r="B551" t="s">
        <v>509</v>
      </c>
      <c r="C551">
        <v>2018</v>
      </c>
      <c r="D551" t="s">
        <v>124</v>
      </c>
      <c r="E551" t="s">
        <v>77</v>
      </c>
      <c r="F551" t="s">
        <v>64</v>
      </c>
      <c r="G551">
        <v>9</v>
      </c>
      <c r="H551">
        <v>50</v>
      </c>
      <c r="I551" s="1">
        <f t="shared" si="8"/>
        <v>0.18</v>
      </c>
      <c r="J551" t="s">
        <v>125</v>
      </c>
      <c r="K551" t="s">
        <v>126</v>
      </c>
      <c r="L551" t="s">
        <v>124</v>
      </c>
      <c r="M551" t="s">
        <v>268</v>
      </c>
      <c r="N551" t="s">
        <v>50</v>
      </c>
    </row>
    <row r="552" spans="1:14">
      <c r="A552">
        <v>29117209</v>
      </c>
      <c r="B552" t="s">
        <v>510</v>
      </c>
      <c r="C552">
        <v>2017</v>
      </c>
      <c r="D552" t="s">
        <v>124</v>
      </c>
      <c r="E552" t="s">
        <v>77</v>
      </c>
      <c r="F552" t="s">
        <v>64</v>
      </c>
      <c r="G552">
        <v>4</v>
      </c>
      <c r="H552">
        <v>58</v>
      </c>
      <c r="I552" s="1">
        <f t="shared" si="8"/>
        <v>0.0689655172413793</v>
      </c>
      <c r="J552" t="s">
        <v>125</v>
      </c>
      <c r="K552" t="s">
        <v>126</v>
      </c>
      <c r="L552" t="s">
        <v>124</v>
      </c>
      <c r="M552" t="s">
        <v>78</v>
      </c>
      <c r="N552" t="s">
        <v>50</v>
      </c>
    </row>
    <row r="553" spans="1:14">
      <c r="A553">
        <v>29133028</v>
      </c>
      <c r="B553" t="s">
        <v>384</v>
      </c>
      <c r="C553">
        <v>2018</v>
      </c>
      <c r="D553" t="s">
        <v>306</v>
      </c>
      <c r="E553" t="s">
        <v>167</v>
      </c>
      <c r="F553" t="s">
        <v>64</v>
      </c>
      <c r="G553">
        <v>42</v>
      </c>
      <c r="H553">
        <v>225</v>
      </c>
      <c r="I553" s="1">
        <f t="shared" si="8"/>
        <v>0.186666666666667</v>
      </c>
      <c r="J553" t="s">
        <v>231</v>
      </c>
      <c r="K553" t="s">
        <v>61</v>
      </c>
      <c r="L553" t="s">
        <v>306</v>
      </c>
      <c r="M553" t="s">
        <v>169</v>
      </c>
      <c r="N553" t="s">
        <v>50</v>
      </c>
    </row>
    <row r="554" spans="1:14">
      <c r="A554">
        <v>29135356</v>
      </c>
      <c r="B554" t="s">
        <v>511</v>
      </c>
      <c r="C554">
        <v>2017</v>
      </c>
      <c r="D554" t="s">
        <v>195</v>
      </c>
      <c r="E554" t="s">
        <v>77</v>
      </c>
      <c r="F554" t="s">
        <v>28</v>
      </c>
      <c r="G554">
        <v>27</v>
      </c>
      <c r="H554">
        <v>120</v>
      </c>
      <c r="I554" s="1">
        <f t="shared" si="8"/>
        <v>0.225</v>
      </c>
      <c r="J554" t="s">
        <v>85</v>
      </c>
      <c r="K554" t="s">
        <v>86</v>
      </c>
      <c r="L554" t="s">
        <v>195</v>
      </c>
      <c r="M554" t="s">
        <v>512</v>
      </c>
      <c r="N554" t="s">
        <v>50</v>
      </c>
    </row>
    <row r="555" spans="1:14">
      <c r="A555">
        <v>29184158</v>
      </c>
      <c r="B555" t="s">
        <v>513</v>
      </c>
      <c r="C555">
        <v>2017</v>
      </c>
      <c r="D555" t="s">
        <v>63</v>
      </c>
      <c r="E555" t="s">
        <v>167</v>
      </c>
      <c r="F555" t="s">
        <v>64</v>
      </c>
      <c r="G555">
        <v>2</v>
      </c>
      <c r="H555">
        <v>7</v>
      </c>
      <c r="I555" s="1">
        <f t="shared" si="8"/>
        <v>0.285714285714286</v>
      </c>
      <c r="J555" t="s">
        <v>231</v>
      </c>
      <c r="K555" t="s">
        <v>61</v>
      </c>
      <c r="L555" t="s">
        <v>63</v>
      </c>
      <c r="M555" t="s">
        <v>456</v>
      </c>
      <c r="N555" t="s">
        <v>30</v>
      </c>
    </row>
    <row r="556" spans="1:14">
      <c r="A556">
        <v>29186061</v>
      </c>
      <c r="B556" t="s">
        <v>514</v>
      </c>
      <c r="C556">
        <v>2017</v>
      </c>
      <c r="D556" t="s">
        <v>515</v>
      </c>
      <c r="E556" t="s">
        <v>131</v>
      </c>
      <c r="F556" t="s">
        <v>64</v>
      </c>
      <c r="G556">
        <v>37</v>
      </c>
      <c r="H556">
        <v>74</v>
      </c>
      <c r="I556" s="1">
        <f t="shared" si="8"/>
        <v>0.5</v>
      </c>
      <c r="J556" t="s">
        <v>365</v>
      </c>
      <c r="K556" t="s">
        <v>113</v>
      </c>
      <c r="L556" t="s">
        <v>172</v>
      </c>
      <c r="M556" t="s">
        <v>516</v>
      </c>
      <c r="N556" t="s">
        <v>50</v>
      </c>
    </row>
    <row r="557" spans="1:14">
      <c r="A557">
        <v>29214558</v>
      </c>
      <c r="B557" t="s">
        <v>517</v>
      </c>
      <c r="C557">
        <v>2018</v>
      </c>
      <c r="D557" t="s">
        <v>124</v>
      </c>
      <c r="E557" t="s">
        <v>77</v>
      </c>
      <c r="F557" t="s">
        <v>64</v>
      </c>
      <c r="G557">
        <v>4</v>
      </c>
      <c r="H557">
        <v>104</v>
      </c>
      <c r="I557" s="1">
        <f t="shared" si="8"/>
        <v>0.0384615384615385</v>
      </c>
      <c r="J557" t="s">
        <v>125</v>
      </c>
      <c r="K557" t="s">
        <v>126</v>
      </c>
      <c r="L557" t="s">
        <v>124</v>
      </c>
      <c r="M557" t="s">
        <v>49</v>
      </c>
      <c r="N557" t="s">
        <v>50</v>
      </c>
    </row>
    <row r="558" spans="1:14">
      <c r="A558">
        <v>29284384</v>
      </c>
      <c r="B558" t="s">
        <v>518</v>
      </c>
      <c r="C558">
        <v>2018</v>
      </c>
      <c r="D558" t="s">
        <v>22</v>
      </c>
      <c r="E558" t="s">
        <v>16</v>
      </c>
      <c r="F558" t="s">
        <v>64</v>
      </c>
      <c r="G558">
        <v>35</v>
      </c>
      <c r="H558">
        <v>74</v>
      </c>
      <c r="I558" s="1">
        <f t="shared" si="8"/>
        <v>0.472972972972973</v>
      </c>
      <c r="J558" t="s">
        <v>23</v>
      </c>
      <c r="K558" t="s">
        <v>24</v>
      </c>
      <c r="L558" t="s">
        <v>22</v>
      </c>
      <c r="M558" t="s">
        <v>96</v>
      </c>
      <c r="N558" t="s">
        <v>21</v>
      </c>
    </row>
    <row r="559" spans="1:14">
      <c r="A559">
        <v>29291999</v>
      </c>
      <c r="B559" t="s">
        <v>519</v>
      </c>
      <c r="C559">
        <v>2018</v>
      </c>
      <c r="D559" t="s">
        <v>124</v>
      </c>
      <c r="E559" t="s">
        <v>77</v>
      </c>
      <c r="F559" t="s">
        <v>64</v>
      </c>
      <c r="G559">
        <v>31</v>
      </c>
      <c r="H559">
        <v>140</v>
      </c>
      <c r="I559" s="1">
        <f t="shared" si="8"/>
        <v>0.221428571428571</v>
      </c>
      <c r="J559" t="s">
        <v>125</v>
      </c>
      <c r="K559" t="s">
        <v>126</v>
      </c>
      <c r="L559" t="s">
        <v>124</v>
      </c>
      <c r="M559" t="s">
        <v>520</v>
      </c>
      <c r="N559" t="s">
        <v>350</v>
      </c>
    </row>
    <row r="560" spans="1:14">
      <c r="A560">
        <v>29417054</v>
      </c>
      <c r="B560" t="s">
        <v>521</v>
      </c>
      <c r="C560">
        <v>2018</v>
      </c>
      <c r="D560" t="s">
        <v>124</v>
      </c>
      <c r="E560" t="s">
        <v>77</v>
      </c>
      <c r="F560" t="s">
        <v>28</v>
      </c>
      <c r="G560">
        <v>115</v>
      </c>
      <c r="H560">
        <v>297</v>
      </c>
      <c r="I560" s="1">
        <f t="shared" si="8"/>
        <v>0.387205387205387</v>
      </c>
      <c r="J560" t="s">
        <v>125</v>
      </c>
      <c r="K560" t="s">
        <v>126</v>
      </c>
      <c r="L560" t="s">
        <v>124</v>
      </c>
      <c r="M560" t="s">
        <v>70</v>
      </c>
      <c r="N560" t="s">
        <v>50</v>
      </c>
    </row>
    <row r="561" spans="1:14">
      <c r="A561">
        <v>29417054</v>
      </c>
      <c r="B561" t="s">
        <v>521</v>
      </c>
      <c r="C561">
        <v>2018</v>
      </c>
      <c r="D561" t="s">
        <v>15</v>
      </c>
      <c r="E561" t="s">
        <v>77</v>
      </c>
      <c r="F561" t="s">
        <v>28</v>
      </c>
      <c r="G561">
        <v>134</v>
      </c>
      <c r="H561">
        <v>297</v>
      </c>
      <c r="I561" s="1">
        <f t="shared" si="8"/>
        <v>0.451178451178451</v>
      </c>
      <c r="J561" t="s">
        <v>18</v>
      </c>
      <c r="K561" t="s">
        <v>19</v>
      </c>
      <c r="L561" t="s">
        <v>15</v>
      </c>
      <c r="M561" t="s">
        <v>70</v>
      </c>
      <c r="N561" t="s">
        <v>50</v>
      </c>
    </row>
    <row r="562" spans="1:14">
      <c r="A562">
        <v>29471843</v>
      </c>
      <c r="B562" t="s">
        <v>522</v>
      </c>
      <c r="C562">
        <v>2018</v>
      </c>
      <c r="D562" t="s">
        <v>124</v>
      </c>
      <c r="E562" t="s">
        <v>77</v>
      </c>
      <c r="F562" t="s">
        <v>64</v>
      </c>
      <c r="G562">
        <v>131</v>
      </c>
      <c r="H562">
        <v>505</v>
      </c>
      <c r="I562" s="1">
        <f t="shared" si="8"/>
        <v>0.259405940594059</v>
      </c>
      <c r="J562" t="s">
        <v>125</v>
      </c>
      <c r="K562" t="s">
        <v>126</v>
      </c>
      <c r="L562" t="s">
        <v>124</v>
      </c>
      <c r="M562" t="s">
        <v>482</v>
      </c>
      <c r="N562" t="s">
        <v>50</v>
      </c>
    </row>
    <row r="563" spans="1:14">
      <c r="A563">
        <v>29482645</v>
      </c>
      <c r="B563" t="s">
        <v>523</v>
      </c>
      <c r="C563">
        <v>2018</v>
      </c>
      <c r="D563" t="s">
        <v>124</v>
      </c>
      <c r="E563" t="s">
        <v>77</v>
      </c>
      <c r="F563" t="s">
        <v>64</v>
      </c>
      <c r="G563">
        <v>33</v>
      </c>
      <c r="H563">
        <v>142</v>
      </c>
      <c r="I563" s="1">
        <f t="shared" si="8"/>
        <v>0.232394366197183</v>
      </c>
      <c r="J563" t="s">
        <v>125</v>
      </c>
      <c r="K563" t="s">
        <v>126</v>
      </c>
      <c r="L563" t="s">
        <v>124</v>
      </c>
      <c r="M563" t="s">
        <v>78</v>
      </c>
      <c r="N563" t="s">
        <v>50</v>
      </c>
    </row>
    <row r="564" spans="1:14">
      <c r="A564">
        <v>29498900</v>
      </c>
      <c r="B564" t="s">
        <v>524</v>
      </c>
      <c r="C564">
        <v>2018</v>
      </c>
      <c r="D564" t="s">
        <v>22</v>
      </c>
      <c r="E564" t="s">
        <v>16</v>
      </c>
      <c r="F564" t="s">
        <v>64</v>
      </c>
      <c r="G564">
        <v>71</v>
      </c>
      <c r="H564">
        <v>300</v>
      </c>
      <c r="I564" s="1">
        <f t="shared" si="8"/>
        <v>0.236666666666667</v>
      </c>
      <c r="J564" t="s">
        <v>23</v>
      </c>
      <c r="K564" t="s">
        <v>24</v>
      </c>
      <c r="L564" t="s">
        <v>22</v>
      </c>
      <c r="M564" t="s">
        <v>20</v>
      </c>
      <c r="N564" t="s">
        <v>21</v>
      </c>
    </row>
    <row r="565" spans="1:14">
      <c r="A565">
        <v>29516663</v>
      </c>
      <c r="B565" t="s">
        <v>525</v>
      </c>
      <c r="C565">
        <v>2018</v>
      </c>
      <c r="D565" t="s">
        <v>526</v>
      </c>
      <c r="E565" t="s">
        <v>77</v>
      </c>
      <c r="F565" t="s">
        <v>17</v>
      </c>
      <c r="G565">
        <v>95</v>
      </c>
      <c r="H565">
        <v>624</v>
      </c>
      <c r="I565" s="1">
        <f t="shared" si="8"/>
        <v>0.15224358974359</v>
      </c>
      <c r="J565" t="s">
        <v>60</v>
      </c>
      <c r="K565" t="s">
        <v>527</v>
      </c>
      <c r="L565" t="s">
        <v>526</v>
      </c>
      <c r="M565" t="s">
        <v>301</v>
      </c>
      <c r="N565" t="s">
        <v>50</v>
      </c>
    </row>
    <row r="566" spans="1:14">
      <c r="A566">
        <v>29516663</v>
      </c>
      <c r="B566" t="s">
        <v>525</v>
      </c>
      <c r="C566">
        <v>2018</v>
      </c>
      <c r="D566" t="s">
        <v>526</v>
      </c>
      <c r="E566" t="s">
        <v>77</v>
      </c>
      <c r="F566" t="s">
        <v>17</v>
      </c>
      <c r="G566">
        <v>95</v>
      </c>
      <c r="H566">
        <v>624</v>
      </c>
      <c r="I566" s="1">
        <f t="shared" si="8"/>
        <v>0.15224358974359</v>
      </c>
      <c r="J566" t="s">
        <v>60</v>
      </c>
      <c r="K566" t="s">
        <v>527</v>
      </c>
      <c r="L566" t="s">
        <v>526</v>
      </c>
      <c r="M566" t="s">
        <v>146</v>
      </c>
      <c r="N566" t="s">
        <v>50</v>
      </c>
    </row>
    <row r="567" spans="1:14">
      <c r="A567">
        <v>29516663</v>
      </c>
      <c r="B567" t="s">
        <v>525</v>
      </c>
      <c r="C567">
        <v>2018</v>
      </c>
      <c r="D567" t="s">
        <v>526</v>
      </c>
      <c r="E567" t="s">
        <v>77</v>
      </c>
      <c r="F567" t="s">
        <v>17</v>
      </c>
      <c r="G567">
        <v>95</v>
      </c>
      <c r="H567">
        <v>624</v>
      </c>
      <c r="I567" s="1">
        <f t="shared" si="8"/>
        <v>0.15224358974359</v>
      </c>
      <c r="J567" t="s">
        <v>60</v>
      </c>
      <c r="K567" t="s">
        <v>527</v>
      </c>
      <c r="L567" t="s">
        <v>526</v>
      </c>
      <c r="M567" t="s">
        <v>268</v>
      </c>
      <c r="N567" t="s">
        <v>50</v>
      </c>
    </row>
    <row r="568" spans="1:14">
      <c r="A568">
        <v>29517402</v>
      </c>
      <c r="B568" t="s">
        <v>528</v>
      </c>
      <c r="C568">
        <v>2018</v>
      </c>
      <c r="D568" t="s">
        <v>22</v>
      </c>
      <c r="E568" t="s">
        <v>16</v>
      </c>
      <c r="F568" t="s">
        <v>64</v>
      </c>
      <c r="G568">
        <v>22</v>
      </c>
      <c r="H568">
        <v>32</v>
      </c>
      <c r="I568" s="1">
        <f t="shared" si="8"/>
        <v>0.6875</v>
      </c>
      <c r="J568" t="s">
        <v>23</v>
      </c>
      <c r="K568" t="s">
        <v>24</v>
      </c>
      <c r="L568" t="s">
        <v>22</v>
      </c>
      <c r="M568" t="s">
        <v>96</v>
      </c>
      <c r="N568" t="s">
        <v>21</v>
      </c>
    </row>
    <row r="569" spans="1:14">
      <c r="A569">
        <v>29517402</v>
      </c>
      <c r="B569" t="s">
        <v>528</v>
      </c>
      <c r="C569">
        <v>2018</v>
      </c>
      <c r="D569" t="s">
        <v>45</v>
      </c>
      <c r="E569" t="s">
        <v>16</v>
      </c>
      <c r="F569" t="s">
        <v>41</v>
      </c>
      <c r="G569">
        <v>32</v>
      </c>
      <c r="H569">
        <v>32</v>
      </c>
      <c r="I569" s="1">
        <f t="shared" si="8"/>
        <v>1</v>
      </c>
      <c r="J569" t="s">
        <v>23</v>
      </c>
      <c r="K569" t="s">
        <v>46</v>
      </c>
      <c r="L569" t="s">
        <v>45</v>
      </c>
      <c r="M569" t="s">
        <v>96</v>
      </c>
      <c r="N569" t="s">
        <v>21</v>
      </c>
    </row>
    <row r="570" spans="1:14">
      <c r="A570">
        <v>29519528</v>
      </c>
      <c r="B570" t="s">
        <v>529</v>
      </c>
      <c r="C570">
        <v>2018</v>
      </c>
      <c r="D570" t="s">
        <v>115</v>
      </c>
      <c r="E570" t="s">
        <v>48</v>
      </c>
      <c r="F570" t="s">
        <v>64</v>
      </c>
      <c r="G570">
        <v>3</v>
      </c>
      <c r="H570">
        <v>3</v>
      </c>
      <c r="I570" s="1">
        <f t="shared" si="8"/>
        <v>1</v>
      </c>
      <c r="J570" t="s">
        <v>38</v>
      </c>
      <c r="K570" t="s">
        <v>39</v>
      </c>
      <c r="L570" t="s">
        <v>115</v>
      </c>
      <c r="M570" t="s">
        <v>29</v>
      </c>
      <c r="N570" t="s">
        <v>30</v>
      </c>
    </row>
    <row r="571" spans="1:14">
      <c r="A571">
        <v>29527814</v>
      </c>
      <c r="B571" t="s">
        <v>530</v>
      </c>
      <c r="C571">
        <v>2018</v>
      </c>
      <c r="D571" t="s">
        <v>531</v>
      </c>
      <c r="E571" t="s">
        <v>77</v>
      </c>
      <c r="F571" t="s">
        <v>64</v>
      </c>
      <c r="G571">
        <v>87</v>
      </c>
      <c r="H571">
        <v>456</v>
      </c>
      <c r="I571" s="1">
        <f t="shared" si="8"/>
        <v>0.190789473684211</v>
      </c>
      <c r="J571" t="s">
        <v>55</v>
      </c>
      <c r="K571" t="s">
        <v>56</v>
      </c>
      <c r="L571" t="s">
        <v>531</v>
      </c>
      <c r="M571" t="s">
        <v>49</v>
      </c>
      <c r="N571" t="s">
        <v>50</v>
      </c>
    </row>
    <row r="572" spans="1:14">
      <c r="A572">
        <v>29569145</v>
      </c>
      <c r="B572" t="s">
        <v>532</v>
      </c>
      <c r="C572">
        <v>2018</v>
      </c>
      <c r="D572" t="s">
        <v>124</v>
      </c>
      <c r="E572" t="s">
        <v>77</v>
      </c>
      <c r="F572" t="s">
        <v>28</v>
      </c>
      <c r="G572">
        <v>0</v>
      </c>
      <c r="H572">
        <v>29</v>
      </c>
      <c r="I572" s="1">
        <f t="shared" si="8"/>
        <v>0</v>
      </c>
      <c r="J572" t="s">
        <v>125</v>
      </c>
      <c r="K572" t="s">
        <v>126</v>
      </c>
      <c r="L572" t="s">
        <v>124</v>
      </c>
      <c r="M572" t="s">
        <v>213</v>
      </c>
      <c r="N572" t="s">
        <v>50</v>
      </c>
    </row>
    <row r="573" spans="1:14">
      <c r="A573">
        <v>29654090</v>
      </c>
      <c r="B573" t="s">
        <v>533</v>
      </c>
      <c r="C573">
        <v>2018</v>
      </c>
      <c r="D573" t="s">
        <v>22</v>
      </c>
      <c r="E573" t="s">
        <v>51</v>
      </c>
      <c r="F573" t="s">
        <v>64</v>
      </c>
      <c r="G573">
        <v>10</v>
      </c>
      <c r="H573">
        <v>13</v>
      </c>
      <c r="I573" s="1">
        <f t="shared" si="8"/>
        <v>0.769230769230769</v>
      </c>
      <c r="J573" t="s">
        <v>23</v>
      </c>
      <c r="K573" t="s">
        <v>24</v>
      </c>
      <c r="L573" t="s">
        <v>22</v>
      </c>
      <c r="M573" t="s">
        <v>62</v>
      </c>
      <c r="N573" t="s">
        <v>50</v>
      </c>
    </row>
    <row r="574" spans="1:14">
      <c r="A574">
        <v>29655214</v>
      </c>
      <c r="B574" t="s">
        <v>534</v>
      </c>
      <c r="C574">
        <v>2018</v>
      </c>
      <c r="D574" t="s">
        <v>124</v>
      </c>
      <c r="E574" t="s">
        <v>16</v>
      </c>
      <c r="F574" t="s">
        <v>64</v>
      </c>
      <c r="G574">
        <v>43</v>
      </c>
      <c r="H574">
        <v>80</v>
      </c>
      <c r="I574" s="1">
        <f t="shared" si="8"/>
        <v>0.5375</v>
      </c>
      <c r="J574" t="s">
        <v>125</v>
      </c>
      <c r="K574" t="s">
        <v>126</v>
      </c>
      <c r="L574" t="s">
        <v>124</v>
      </c>
      <c r="M574" t="s">
        <v>49</v>
      </c>
      <c r="N574" t="s">
        <v>50</v>
      </c>
    </row>
    <row r="575" spans="1:14">
      <c r="A575">
        <v>29655214</v>
      </c>
      <c r="B575" t="s">
        <v>534</v>
      </c>
      <c r="C575">
        <v>2018</v>
      </c>
      <c r="D575" t="s">
        <v>124</v>
      </c>
      <c r="E575" t="s">
        <v>48</v>
      </c>
      <c r="F575" t="s">
        <v>64</v>
      </c>
      <c r="G575">
        <v>25</v>
      </c>
      <c r="H575">
        <v>73</v>
      </c>
      <c r="I575" s="1">
        <f t="shared" si="8"/>
        <v>0.342465753424658</v>
      </c>
      <c r="J575" t="s">
        <v>125</v>
      </c>
      <c r="K575" t="s">
        <v>126</v>
      </c>
      <c r="L575" t="s">
        <v>124</v>
      </c>
      <c r="M575" t="s">
        <v>49</v>
      </c>
      <c r="N575" t="s">
        <v>50</v>
      </c>
    </row>
    <row r="576" spans="1:14">
      <c r="A576">
        <v>29656087</v>
      </c>
      <c r="B576" t="s">
        <v>535</v>
      </c>
      <c r="C576">
        <v>2018</v>
      </c>
      <c r="D576" t="s">
        <v>124</v>
      </c>
      <c r="E576" t="s">
        <v>77</v>
      </c>
      <c r="F576" t="s">
        <v>64</v>
      </c>
      <c r="G576">
        <v>2</v>
      </c>
      <c r="H576">
        <v>20</v>
      </c>
      <c r="I576" s="1">
        <f t="shared" si="8"/>
        <v>0.1</v>
      </c>
      <c r="J576" t="s">
        <v>125</v>
      </c>
      <c r="K576" t="s">
        <v>126</v>
      </c>
      <c r="L576" t="s">
        <v>124</v>
      </c>
      <c r="M576" t="s">
        <v>70</v>
      </c>
      <c r="N576" t="s">
        <v>50</v>
      </c>
    </row>
    <row r="577" spans="1:14">
      <c r="A577">
        <v>29774989</v>
      </c>
      <c r="B577" t="s">
        <v>536</v>
      </c>
      <c r="C577">
        <v>2018</v>
      </c>
      <c r="D577" t="s">
        <v>537</v>
      </c>
      <c r="E577" t="s">
        <v>77</v>
      </c>
      <c r="F577" t="s">
        <v>64</v>
      </c>
      <c r="G577">
        <v>62</v>
      </c>
      <c r="H577">
        <v>187</v>
      </c>
      <c r="I577" s="1">
        <f t="shared" si="8"/>
        <v>0.331550802139037</v>
      </c>
      <c r="J577" t="s">
        <v>94</v>
      </c>
      <c r="K577" t="s">
        <v>95</v>
      </c>
      <c r="L577" t="s">
        <v>537</v>
      </c>
      <c r="M577" t="s">
        <v>75</v>
      </c>
      <c r="N577" t="s">
        <v>50</v>
      </c>
    </row>
    <row r="578" spans="1:14">
      <c r="A578">
        <v>29792757</v>
      </c>
      <c r="B578" t="s">
        <v>538</v>
      </c>
      <c r="C578">
        <v>2018</v>
      </c>
      <c r="D578" t="s">
        <v>45</v>
      </c>
      <c r="E578" t="s">
        <v>16</v>
      </c>
      <c r="F578" t="s">
        <v>28</v>
      </c>
      <c r="G578">
        <v>295</v>
      </c>
      <c r="H578">
        <v>1079</v>
      </c>
      <c r="I578" s="1">
        <f t="shared" si="8"/>
        <v>0.273401297497683</v>
      </c>
      <c r="J578" t="s">
        <v>23</v>
      </c>
      <c r="K578" t="s">
        <v>46</v>
      </c>
      <c r="L578" t="s">
        <v>45</v>
      </c>
      <c r="M578" t="s">
        <v>20</v>
      </c>
      <c r="N578" t="s">
        <v>21</v>
      </c>
    </row>
    <row r="579" spans="1:14">
      <c r="A579">
        <v>2987546</v>
      </c>
      <c r="B579" t="s">
        <v>539</v>
      </c>
      <c r="C579">
        <v>1985</v>
      </c>
      <c r="D579" t="s">
        <v>540</v>
      </c>
      <c r="E579" t="s">
        <v>16</v>
      </c>
      <c r="F579" t="s">
        <v>17</v>
      </c>
      <c r="G579">
        <v>7</v>
      </c>
      <c r="H579">
        <v>35</v>
      </c>
      <c r="I579" s="1">
        <f t="shared" ref="I579:I642" si="9">G579/H579</f>
        <v>0.2</v>
      </c>
      <c r="J579" t="s">
        <v>23</v>
      </c>
      <c r="K579" t="s">
        <v>46</v>
      </c>
      <c r="L579" t="s">
        <v>540</v>
      </c>
      <c r="M579" t="s">
        <v>20</v>
      </c>
      <c r="N579" t="s">
        <v>21</v>
      </c>
    </row>
    <row r="580" spans="1:14">
      <c r="A580">
        <v>2987546</v>
      </c>
      <c r="B580" t="s">
        <v>539</v>
      </c>
      <c r="C580">
        <v>1985</v>
      </c>
      <c r="D580" t="s">
        <v>540</v>
      </c>
      <c r="E580" t="s">
        <v>77</v>
      </c>
      <c r="F580" t="s">
        <v>17</v>
      </c>
      <c r="G580">
        <v>84</v>
      </c>
      <c r="H580">
        <v>158</v>
      </c>
      <c r="I580" s="1">
        <f t="shared" si="9"/>
        <v>0.531645569620253</v>
      </c>
      <c r="J580" t="s">
        <v>23</v>
      </c>
      <c r="K580" t="s">
        <v>46</v>
      </c>
      <c r="L580" t="s">
        <v>540</v>
      </c>
      <c r="M580" t="s">
        <v>20</v>
      </c>
      <c r="N580" t="s">
        <v>21</v>
      </c>
    </row>
    <row r="581" spans="1:14">
      <c r="A581">
        <v>29876783</v>
      </c>
      <c r="B581" t="s">
        <v>541</v>
      </c>
      <c r="C581">
        <v>2018</v>
      </c>
      <c r="D581" t="s">
        <v>542</v>
      </c>
      <c r="E581" t="s">
        <v>77</v>
      </c>
      <c r="F581" t="s">
        <v>28</v>
      </c>
      <c r="G581">
        <v>168</v>
      </c>
      <c r="H581">
        <v>1048</v>
      </c>
      <c r="I581" s="1">
        <f t="shared" si="9"/>
        <v>0.16030534351145</v>
      </c>
      <c r="J581" t="s">
        <v>543</v>
      </c>
      <c r="K581" t="s">
        <v>544</v>
      </c>
      <c r="L581" t="s">
        <v>542</v>
      </c>
      <c r="M581" t="s">
        <v>68</v>
      </c>
      <c r="N581" t="s">
        <v>30</v>
      </c>
    </row>
    <row r="582" spans="1:14">
      <c r="A582">
        <v>29879634</v>
      </c>
      <c r="B582" t="s">
        <v>545</v>
      </c>
      <c r="C582">
        <v>2018</v>
      </c>
      <c r="D582" t="s">
        <v>185</v>
      </c>
      <c r="E582" t="s">
        <v>77</v>
      </c>
      <c r="F582" t="s">
        <v>64</v>
      </c>
      <c r="G582">
        <v>4</v>
      </c>
      <c r="H582">
        <v>50</v>
      </c>
      <c r="I582" s="1">
        <f t="shared" si="9"/>
        <v>0.08</v>
      </c>
      <c r="J582" t="s">
        <v>55</v>
      </c>
      <c r="K582" t="s">
        <v>56</v>
      </c>
      <c r="L582" t="s">
        <v>185</v>
      </c>
      <c r="M582" t="s">
        <v>404</v>
      </c>
      <c r="N582" t="s">
        <v>50</v>
      </c>
    </row>
    <row r="583" spans="1:14">
      <c r="A583">
        <v>29902129</v>
      </c>
      <c r="B583" t="s">
        <v>546</v>
      </c>
      <c r="C583">
        <v>2018</v>
      </c>
      <c r="D583" t="s">
        <v>15</v>
      </c>
      <c r="E583" t="s">
        <v>77</v>
      </c>
      <c r="F583" t="s">
        <v>28</v>
      </c>
      <c r="G583">
        <v>0</v>
      </c>
      <c r="H583">
        <v>74</v>
      </c>
      <c r="I583" s="1">
        <f t="shared" si="9"/>
        <v>0</v>
      </c>
      <c r="J583" t="s">
        <v>18</v>
      </c>
      <c r="K583" t="s">
        <v>19</v>
      </c>
      <c r="L583" t="s">
        <v>15</v>
      </c>
      <c r="M583" t="s">
        <v>547</v>
      </c>
      <c r="N583" t="s">
        <v>350</v>
      </c>
    </row>
    <row r="584" spans="1:14">
      <c r="A584">
        <v>29902129</v>
      </c>
      <c r="B584" t="s">
        <v>546</v>
      </c>
      <c r="C584">
        <v>2018</v>
      </c>
      <c r="D584" t="s">
        <v>540</v>
      </c>
      <c r="E584" t="s">
        <v>77</v>
      </c>
      <c r="F584" t="s">
        <v>28</v>
      </c>
      <c r="G584">
        <v>13</v>
      </c>
      <c r="H584">
        <v>31</v>
      </c>
      <c r="I584" s="1">
        <f t="shared" si="9"/>
        <v>0.419354838709677</v>
      </c>
      <c r="J584" t="s">
        <v>23</v>
      </c>
      <c r="K584" t="s">
        <v>46</v>
      </c>
      <c r="L584" t="s">
        <v>540</v>
      </c>
      <c r="M584" t="s">
        <v>547</v>
      </c>
      <c r="N584" t="s">
        <v>350</v>
      </c>
    </row>
    <row r="585" spans="1:14">
      <c r="A585">
        <v>29902129</v>
      </c>
      <c r="B585" t="s">
        <v>546</v>
      </c>
      <c r="C585">
        <v>2018</v>
      </c>
      <c r="D585" t="s">
        <v>93</v>
      </c>
      <c r="E585" t="s">
        <v>77</v>
      </c>
      <c r="F585" t="s">
        <v>28</v>
      </c>
      <c r="G585">
        <v>2</v>
      </c>
      <c r="H585">
        <v>19</v>
      </c>
      <c r="I585" s="1">
        <f t="shared" si="9"/>
        <v>0.105263157894737</v>
      </c>
      <c r="J585" t="s">
        <v>94</v>
      </c>
      <c r="K585" t="s">
        <v>95</v>
      </c>
      <c r="L585" t="s">
        <v>93</v>
      </c>
      <c r="M585" t="s">
        <v>547</v>
      </c>
      <c r="N585" t="s">
        <v>350</v>
      </c>
    </row>
    <row r="586" spans="1:14">
      <c r="A586">
        <v>29902129</v>
      </c>
      <c r="B586" t="s">
        <v>546</v>
      </c>
      <c r="C586">
        <v>2018</v>
      </c>
      <c r="D586" t="s">
        <v>83</v>
      </c>
      <c r="E586" t="s">
        <v>77</v>
      </c>
      <c r="F586" t="s">
        <v>28</v>
      </c>
      <c r="G586">
        <v>4</v>
      </c>
      <c r="H586">
        <v>74</v>
      </c>
      <c r="I586" s="1">
        <f t="shared" si="9"/>
        <v>0.0540540540540541</v>
      </c>
      <c r="J586" t="s">
        <v>55</v>
      </c>
      <c r="K586" t="s">
        <v>56</v>
      </c>
      <c r="L586" t="s">
        <v>83</v>
      </c>
      <c r="M586" t="s">
        <v>547</v>
      </c>
      <c r="N586" t="s">
        <v>350</v>
      </c>
    </row>
    <row r="587" spans="1:14">
      <c r="A587">
        <v>30014614</v>
      </c>
      <c r="B587" t="s">
        <v>548</v>
      </c>
      <c r="C587">
        <v>2018</v>
      </c>
      <c r="D587" t="s">
        <v>124</v>
      </c>
      <c r="E587" t="s">
        <v>77</v>
      </c>
      <c r="F587" t="s">
        <v>64</v>
      </c>
      <c r="G587">
        <v>31</v>
      </c>
      <c r="H587">
        <v>366</v>
      </c>
      <c r="I587" s="1">
        <f t="shared" si="9"/>
        <v>0.0846994535519126</v>
      </c>
      <c r="J587" t="s">
        <v>125</v>
      </c>
      <c r="K587" t="s">
        <v>126</v>
      </c>
      <c r="L587" t="s">
        <v>124</v>
      </c>
      <c r="M587" t="s">
        <v>199</v>
      </c>
      <c r="N587" t="s">
        <v>50</v>
      </c>
    </row>
    <row r="588" spans="1:14">
      <c r="A588">
        <v>3007568</v>
      </c>
      <c r="B588" t="s">
        <v>549</v>
      </c>
      <c r="C588">
        <v>1986</v>
      </c>
      <c r="D588" t="s">
        <v>99</v>
      </c>
      <c r="E588" t="s">
        <v>48</v>
      </c>
      <c r="F588" t="s">
        <v>28</v>
      </c>
      <c r="G588">
        <v>42</v>
      </c>
      <c r="H588">
        <v>144</v>
      </c>
      <c r="I588" s="1">
        <f t="shared" si="9"/>
        <v>0.291666666666667</v>
      </c>
      <c r="J588" t="s">
        <v>38</v>
      </c>
      <c r="K588" t="s">
        <v>39</v>
      </c>
      <c r="L588" t="s">
        <v>99</v>
      </c>
      <c r="M588" t="s">
        <v>172</v>
      </c>
      <c r="N588" t="s">
        <v>50</v>
      </c>
    </row>
    <row r="589" spans="1:14">
      <c r="A589">
        <v>30091190</v>
      </c>
      <c r="B589" t="s">
        <v>550</v>
      </c>
      <c r="C589">
        <v>2019</v>
      </c>
      <c r="D589" t="s">
        <v>537</v>
      </c>
      <c r="E589" t="s">
        <v>77</v>
      </c>
      <c r="F589" t="s">
        <v>64</v>
      </c>
      <c r="G589">
        <v>221</v>
      </c>
      <c r="H589">
        <v>518</v>
      </c>
      <c r="I589" s="1">
        <f t="shared" si="9"/>
        <v>0.426640926640927</v>
      </c>
      <c r="J589" t="s">
        <v>94</v>
      </c>
      <c r="K589" t="s">
        <v>95</v>
      </c>
      <c r="L589" t="s">
        <v>537</v>
      </c>
      <c r="M589" t="s">
        <v>78</v>
      </c>
      <c r="N589" t="s">
        <v>50</v>
      </c>
    </row>
    <row r="590" spans="1:14">
      <c r="A590">
        <v>30096030</v>
      </c>
      <c r="B590" t="s">
        <v>551</v>
      </c>
      <c r="C590">
        <v>2019</v>
      </c>
      <c r="D590" t="s">
        <v>195</v>
      </c>
      <c r="E590" t="s">
        <v>51</v>
      </c>
      <c r="F590" t="s">
        <v>137</v>
      </c>
      <c r="G590">
        <v>0</v>
      </c>
      <c r="H590">
        <v>5</v>
      </c>
      <c r="I590" s="1">
        <f t="shared" si="9"/>
        <v>0</v>
      </c>
      <c r="J590" t="s">
        <v>85</v>
      </c>
      <c r="K590" t="s">
        <v>86</v>
      </c>
      <c r="L590" t="s">
        <v>195</v>
      </c>
      <c r="M590" t="s">
        <v>20</v>
      </c>
      <c r="N590" t="s">
        <v>21</v>
      </c>
    </row>
    <row r="591" spans="1:14">
      <c r="A591">
        <v>3016348</v>
      </c>
      <c r="B591" t="s">
        <v>552</v>
      </c>
      <c r="C591">
        <v>1986</v>
      </c>
      <c r="D591" t="s">
        <v>540</v>
      </c>
      <c r="E591" t="s">
        <v>77</v>
      </c>
      <c r="F591" t="s">
        <v>17</v>
      </c>
      <c r="G591">
        <v>75</v>
      </c>
      <c r="H591">
        <v>941</v>
      </c>
      <c r="I591" s="1">
        <f t="shared" si="9"/>
        <v>0.079702444208289</v>
      </c>
      <c r="J591" t="s">
        <v>23</v>
      </c>
      <c r="K591" t="s">
        <v>46</v>
      </c>
      <c r="L591" t="s">
        <v>540</v>
      </c>
      <c r="M591" t="s">
        <v>20</v>
      </c>
      <c r="N591" t="s">
        <v>21</v>
      </c>
    </row>
    <row r="592" spans="1:14">
      <c r="A592">
        <v>3017527</v>
      </c>
      <c r="B592" t="s">
        <v>553</v>
      </c>
      <c r="C592">
        <v>1986</v>
      </c>
      <c r="D592" t="s">
        <v>228</v>
      </c>
      <c r="E592" t="s">
        <v>16</v>
      </c>
      <c r="F592" t="s">
        <v>137</v>
      </c>
      <c r="G592">
        <v>10</v>
      </c>
      <c r="H592">
        <v>192</v>
      </c>
      <c r="I592" s="1">
        <f t="shared" si="9"/>
        <v>0.0520833333333333</v>
      </c>
      <c r="J592" t="s">
        <v>55</v>
      </c>
      <c r="K592" t="s">
        <v>56</v>
      </c>
      <c r="L592" t="s">
        <v>228</v>
      </c>
      <c r="M592" t="s">
        <v>96</v>
      </c>
      <c r="N592" t="s">
        <v>21</v>
      </c>
    </row>
    <row r="593" spans="1:14">
      <c r="A593">
        <v>3017527</v>
      </c>
      <c r="B593" t="s">
        <v>553</v>
      </c>
      <c r="C593">
        <v>1986</v>
      </c>
      <c r="D593" t="s">
        <v>228</v>
      </c>
      <c r="E593" t="s">
        <v>51</v>
      </c>
      <c r="F593" t="s">
        <v>137</v>
      </c>
      <c r="G593">
        <v>47</v>
      </c>
      <c r="H593">
        <v>277</v>
      </c>
      <c r="I593" s="1">
        <f t="shared" si="9"/>
        <v>0.169675090252708</v>
      </c>
      <c r="J593" t="s">
        <v>55</v>
      </c>
      <c r="K593" t="s">
        <v>56</v>
      </c>
      <c r="L593" t="s">
        <v>228</v>
      </c>
      <c r="M593" t="s">
        <v>96</v>
      </c>
      <c r="N593" t="s">
        <v>21</v>
      </c>
    </row>
    <row r="594" spans="1:14">
      <c r="A594">
        <v>3017527</v>
      </c>
      <c r="B594" t="s">
        <v>553</v>
      </c>
      <c r="C594">
        <v>1986</v>
      </c>
      <c r="D594" t="s">
        <v>208</v>
      </c>
      <c r="E594" t="s">
        <v>51</v>
      </c>
      <c r="F594" t="s">
        <v>137</v>
      </c>
      <c r="G594">
        <v>64</v>
      </c>
      <c r="H594">
        <v>277</v>
      </c>
      <c r="I594" s="1">
        <f t="shared" si="9"/>
        <v>0.231046931407942</v>
      </c>
      <c r="J594" t="s">
        <v>55</v>
      </c>
      <c r="K594" t="s">
        <v>56</v>
      </c>
      <c r="L594" t="s">
        <v>208</v>
      </c>
      <c r="M594" t="s">
        <v>96</v>
      </c>
      <c r="N594" t="s">
        <v>21</v>
      </c>
    </row>
    <row r="595" spans="1:14">
      <c r="A595">
        <v>3017527</v>
      </c>
      <c r="B595" t="s">
        <v>553</v>
      </c>
      <c r="C595">
        <v>1986</v>
      </c>
      <c r="D595" t="s">
        <v>554</v>
      </c>
      <c r="E595" t="s">
        <v>16</v>
      </c>
      <c r="F595" t="s">
        <v>137</v>
      </c>
      <c r="G595">
        <v>13</v>
      </c>
      <c r="H595">
        <v>192</v>
      </c>
      <c r="I595" s="1">
        <f t="shared" si="9"/>
        <v>0.0677083333333333</v>
      </c>
      <c r="J595" t="s">
        <v>60</v>
      </c>
      <c r="K595" t="s">
        <v>527</v>
      </c>
      <c r="L595" t="s">
        <v>554</v>
      </c>
      <c r="M595" t="s">
        <v>96</v>
      </c>
      <c r="N595" t="s">
        <v>21</v>
      </c>
    </row>
    <row r="596" spans="1:14">
      <c r="A596">
        <v>3017527</v>
      </c>
      <c r="B596" t="s">
        <v>553</v>
      </c>
      <c r="C596">
        <v>1986</v>
      </c>
      <c r="D596" t="s">
        <v>208</v>
      </c>
      <c r="E596" t="s">
        <v>16</v>
      </c>
      <c r="F596" t="s">
        <v>137</v>
      </c>
      <c r="G596">
        <v>16</v>
      </c>
      <c r="H596">
        <v>192</v>
      </c>
      <c r="I596" s="1">
        <f t="shared" si="9"/>
        <v>0.0833333333333333</v>
      </c>
      <c r="J596" t="s">
        <v>55</v>
      </c>
      <c r="K596" t="s">
        <v>56</v>
      </c>
      <c r="L596" t="s">
        <v>208</v>
      </c>
      <c r="M596" t="s">
        <v>96</v>
      </c>
      <c r="N596" t="s">
        <v>21</v>
      </c>
    </row>
    <row r="597" spans="1:14">
      <c r="A597">
        <v>3017527</v>
      </c>
      <c r="B597" t="s">
        <v>553</v>
      </c>
      <c r="C597">
        <v>1986</v>
      </c>
      <c r="D597" t="s">
        <v>554</v>
      </c>
      <c r="E597" t="s">
        <v>51</v>
      </c>
      <c r="F597" t="s">
        <v>137</v>
      </c>
      <c r="G597">
        <v>33</v>
      </c>
      <c r="H597">
        <v>277</v>
      </c>
      <c r="I597" s="1">
        <f t="shared" si="9"/>
        <v>0.11913357400722</v>
      </c>
      <c r="J597" t="s">
        <v>60</v>
      </c>
      <c r="K597" t="s">
        <v>527</v>
      </c>
      <c r="L597" t="s">
        <v>554</v>
      </c>
      <c r="M597" t="s">
        <v>96</v>
      </c>
      <c r="N597" t="s">
        <v>21</v>
      </c>
    </row>
    <row r="598" spans="1:14">
      <c r="A598">
        <v>30201807</v>
      </c>
      <c r="B598" t="s">
        <v>555</v>
      </c>
      <c r="C598">
        <v>2018</v>
      </c>
      <c r="D598" t="s">
        <v>531</v>
      </c>
      <c r="E598" t="s">
        <v>77</v>
      </c>
      <c r="F598" t="s">
        <v>64</v>
      </c>
      <c r="G598">
        <v>1</v>
      </c>
      <c r="H598">
        <v>437</v>
      </c>
      <c r="I598" s="1">
        <f t="shared" si="9"/>
        <v>0.0022883295194508</v>
      </c>
      <c r="J598" t="s">
        <v>55</v>
      </c>
      <c r="K598" t="s">
        <v>56</v>
      </c>
      <c r="L598" t="s">
        <v>531</v>
      </c>
      <c r="M598" t="s">
        <v>78</v>
      </c>
      <c r="N598" t="s">
        <v>50</v>
      </c>
    </row>
    <row r="599" spans="1:14">
      <c r="A599">
        <v>30207081</v>
      </c>
      <c r="B599" t="s">
        <v>556</v>
      </c>
      <c r="C599">
        <v>2018</v>
      </c>
      <c r="D599" t="s">
        <v>124</v>
      </c>
      <c r="E599" t="s">
        <v>77</v>
      </c>
      <c r="F599" t="s">
        <v>64</v>
      </c>
      <c r="G599">
        <v>48</v>
      </c>
      <c r="H599">
        <v>92</v>
      </c>
      <c r="I599" s="1">
        <f t="shared" si="9"/>
        <v>0.521739130434783</v>
      </c>
      <c r="J599" t="s">
        <v>125</v>
      </c>
      <c r="K599" t="s">
        <v>126</v>
      </c>
      <c r="L599" t="s">
        <v>124</v>
      </c>
      <c r="M599" t="s">
        <v>75</v>
      </c>
      <c r="N599" t="s">
        <v>50</v>
      </c>
    </row>
    <row r="600" spans="1:14">
      <c r="A600">
        <v>30224824</v>
      </c>
      <c r="B600" t="s">
        <v>557</v>
      </c>
      <c r="C600">
        <v>2018</v>
      </c>
      <c r="D600" t="s">
        <v>558</v>
      </c>
      <c r="E600" t="s">
        <v>131</v>
      </c>
      <c r="F600" t="s">
        <v>64</v>
      </c>
      <c r="G600">
        <v>59</v>
      </c>
      <c r="H600">
        <v>129</v>
      </c>
      <c r="I600" s="1">
        <f t="shared" si="9"/>
        <v>0.457364341085271</v>
      </c>
      <c r="J600" t="s">
        <v>559</v>
      </c>
      <c r="K600" t="s">
        <v>560</v>
      </c>
      <c r="L600" t="s">
        <v>558</v>
      </c>
      <c r="M600" t="s">
        <v>202</v>
      </c>
      <c r="N600" t="s">
        <v>50</v>
      </c>
    </row>
    <row r="601" spans="1:14">
      <c r="A601">
        <v>30235085</v>
      </c>
      <c r="B601" t="s">
        <v>561</v>
      </c>
      <c r="C601">
        <v>2019</v>
      </c>
      <c r="D601" t="s">
        <v>195</v>
      </c>
      <c r="E601" t="s">
        <v>77</v>
      </c>
      <c r="F601" t="s">
        <v>64</v>
      </c>
      <c r="G601">
        <v>21</v>
      </c>
      <c r="H601">
        <v>423</v>
      </c>
      <c r="I601" s="1">
        <f t="shared" si="9"/>
        <v>0.049645390070922</v>
      </c>
      <c r="J601" t="s">
        <v>85</v>
      </c>
      <c r="K601" t="s">
        <v>86</v>
      </c>
      <c r="L601" t="s">
        <v>195</v>
      </c>
      <c r="M601" t="s">
        <v>75</v>
      </c>
      <c r="N601" t="s">
        <v>50</v>
      </c>
    </row>
    <row r="602" spans="1:14">
      <c r="A602">
        <v>30235274</v>
      </c>
      <c r="B602" t="s">
        <v>562</v>
      </c>
      <c r="C602">
        <v>2018</v>
      </c>
      <c r="D602" t="s">
        <v>45</v>
      </c>
      <c r="E602" t="s">
        <v>51</v>
      </c>
      <c r="F602" t="s">
        <v>64</v>
      </c>
      <c r="G602">
        <v>15316</v>
      </c>
      <c r="H602">
        <v>64900</v>
      </c>
      <c r="I602" s="1">
        <f t="shared" si="9"/>
        <v>0.235993836671803</v>
      </c>
      <c r="J602" t="s">
        <v>23</v>
      </c>
      <c r="K602" t="s">
        <v>46</v>
      </c>
      <c r="L602" t="s">
        <v>45</v>
      </c>
      <c r="M602" t="s">
        <v>160</v>
      </c>
      <c r="N602" t="s">
        <v>50</v>
      </c>
    </row>
    <row r="603" spans="1:14">
      <c r="A603">
        <v>30269794</v>
      </c>
      <c r="B603" t="s">
        <v>563</v>
      </c>
      <c r="C603">
        <v>2018</v>
      </c>
      <c r="D603" t="s">
        <v>564</v>
      </c>
      <c r="E603" t="s">
        <v>77</v>
      </c>
      <c r="F603" t="s">
        <v>64</v>
      </c>
      <c r="G603">
        <v>16</v>
      </c>
      <c r="H603">
        <v>31</v>
      </c>
      <c r="I603" s="1">
        <f t="shared" si="9"/>
        <v>0.516129032258065</v>
      </c>
      <c r="J603" t="s">
        <v>172</v>
      </c>
      <c r="K603" t="s">
        <v>173</v>
      </c>
      <c r="L603" t="s">
        <v>564</v>
      </c>
      <c r="M603" t="s">
        <v>520</v>
      </c>
      <c r="N603" t="s">
        <v>350</v>
      </c>
    </row>
    <row r="604" spans="1:14">
      <c r="A604">
        <v>30269794</v>
      </c>
      <c r="B604" t="s">
        <v>563</v>
      </c>
      <c r="C604">
        <v>2018</v>
      </c>
      <c r="D604" t="s">
        <v>93</v>
      </c>
      <c r="E604" t="s">
        <v>77</v>
      </c>
      <c r="F604" t="s">
        <v>64</v>
      </c>
      <c r="G604">
        <v>20</v>
      </c>
      <c r="H604">
        <v>31</v>
      </c>
      <c r="I604" s="1">
        <f t="shared" si="9"/>
        <v>0.645161290322581</v>
      </c>
      <c r="J604" t="s">
        <v>94</v>
      </c>
      <c r="K604" t="s">
        <v>95</v>
      </c>
      <c r="L604" t="s">
        <v>93</v>
      </c>
      <c r="M604" t="s">
        <v>520</v>
      </c>
      <c r="N604" t="s">
        <v>350</v>
      </c>
    </row>
    <row r="605" spans="1:14">
      <c r="A605">
        <v>30289334</v>
      </c>
      <c r="B605" t="s">
        <v>565</v>
      </c>
      <c r="C605">
        <v>2019</v>
      </c>
      <c r="D605" t="s">
        <v>115</v>
      </c>
      <c r="E605" t="s">
        <v>48</v>
      </c>
      <c r="F605" t="s">
        <v>64</v>
      </c>
      <c r="G605">
        <v>3</v>
      </c>
      <c r="H605">
        <v>136</v>
      </c>
      <c r="I605" s="1">
        <f t="shared" si="9"/>
        <v>0.0220588235294118</v>
      </c>
      <c r="J605" t="s">
        <v>38</v>
      </c>
      <c r="K605" t="s">
        <v>39</v>
      </c>
      <c r="L605" t="s">
        <v>115</v>
      </c>
      <c r="M605" t="s">
        <v>151</v>
      </c>
      <c r="N605" t="s">
        <v>30</v>
      </c>
    </row>
    <row r="606" spans="1:14">
      <c r="A606">
        <v>30387416</v>
      </c>
      <c r="B606" t="s">
        <v>533</v>
      </c>
      <c r="C606">
        <v>2019</v>
      </c>
      <c r="D606" t="s">
        <v>249</v>
      </c>
      <c r="E606" t="s">
        <v>77</v>
      </c>
      <c r="F606" t="s">
        <v>64</v>
      </c>
      <c r="G606">
        <v>2</v>
      </c>
      <c r="H606">
        <v>2</v>
      </c>
      <c r="I606" s="1">
        <f t="shared" si="9"/>
        <v>1</v>
      </c>
      <c r="J606" t="s">
        <v>250</v>
      </c>
      <c r="K606" t="s">
        <v>251</v>
      </c>
      <c r="L606" t="s">
        <v>249</v>
      </c>
      <c r="M606" t="s">
        <v>62</v>
      </c>
      <c r="N606" t="s">
        <v>50</v>
      </c>
    </row>
    <row r="607" spans="1:14">
      <c r="A607">
        <v>30454055</v>
      </c>
      <c r="B607" t="s">
        <v>566</v>
      </c>
      <c r="C607">
        <v>2018</v>
      </c>
      <c r="D607" t="s">
        <v>249</v>
      </c>
      <c r="E607" t="s">
        <v>77</v>
      </c>
      <c r="F607" t="s">
        <v>64</v>
      </c>
      <c r="G607">
        <v>2987</v>
      </c>
      <c r="H607">
        <v>63634</v>
      </c>
      <c r="I607" s="1">
        <f t="shared" si="9"/>
        <v>0.046940314925983</v>
      </c>
      <c r="J607" t="s">
        <v>250</v>
      </c>
      <c r="K607" t="s">
        <v>251</v>
      </c>
      <c r="L607" t="s">
        <v>249</v>
      </c>
      <c r="M607" t="s">
        <v>482</v>
      </c>
      <c r="N607" t="s">
        <v>50</v>
      </c>
    </row>
    <row r="608" spans="1:14">
      <c r="A608">
        <v>30473571</v>
      </c>
      <c r="B608" t="s">
        <v>484</v>
      </c>
      <c r="C608">
        <v>2019</v>
      </c>
      <c r="D608" t="s">
        <v>176</v>
      </c>
      <c r="E608" t="s">
        <v>77</v>
      </c>
      <c r="F608" t="s">
        <v>28</v>
      </c>
      <c r="G608">
        <v>22</v>
      </c>
      <c r="H608">
        <v>46</v>
      </c>
      <c r="I608" s="1">
        <f t="shared" si="9"/>
        <v>0.478260869565217</v>
      </c>
      <c r="J608" t="s">
        <v>55</v>
      </c>
      <c r="K608" t="s">
        <v>56</v>
      </c>
      <c r="L608" t="s">
        <v>176</v>
      </c>
      <c r="M608" t="s">
        <v>68</v>
      </c>
      <c r="N608" t="s">
        <v>30</v>
      </c>
    </row>
    <row r="609" spans="1:14">
      <c r="A609">
        <v>30473571</v>
      </c>
      <c r="B609" t="s">
        <v>484</v>
      </c>
      <c r="C609">
        <v>2019</v>
      </c>
      <c r="D609" t="s">
        <v>124</v>
      </c>
      <c r="E609" t="s">
        <v>77</v>
      </c>
      <c r="F609" t="s">
        <v>28</v>
      </c>
      <c r="G609">
        <v>8</v>
      </c>
      <c r="H609">
        <v>46</v>
      </c>
      <c r="I609" s="1">
        <f t="shared" si="9"/>
        <v>0.173913043478261</v>
      </c>
      <c r="J609" t="s">
        <v>125</v>
      </c>
      <c r="K609" t="s">
        <v>126</v>
      </c>
      <c r="L609" t="s">
        <v>124</v>
      </c>
      <c r="M609" t="s">
        <v>68</v>
      </c>
      <c r="N609" t="s">
        <v>30</v>
      </c>
    </row>
    <row r="610" spans="1:14">
      <c r="A610">
        <v>30478009</v>
      </c>
      <c r="B610" t="s">
        <v>567</v>
      </c>
      <c r="C610">
        <v>2019</v>
      </c>
      <c r="D610" t="s">
        <v>568</v>
      </c>
      <c r="E610" t="s">
        <v>16</v>
      </c>
      <c r="F610" t="s">
        <v>17</v>
      </c>
      <c r="G610">
        <v>16</v>
      </c>
      <c r="H610">
        <v>64</v>
      </c>
      <c r="I610" s="1">
        <f t="shared" si="9"/>
        <v>0.25</v>
      </c>
      <c r="J610" t="s">
        <v>60</v>
      </c>
      <c r="K610" t="s">
        <v>455</v>
      </c>
      <c r="L610" t="s">
        <v>568</v>
      </c>
      <c r="M610" t="s">
        <v>68</v>
      </c>
      <c r="N610" t="s">
        <v>30</v>
      </c>
    </row>
    <row r="611" spans="1:14">
      <c r="A611">
        <v>30515648</v>
      </c>
      <c r="B611" t="s">
        <v>569</v>
      </c>
      <c r="C611">
        <v>2018</v>
      </c>
      <c r="D611" t="s">
        <v>570</v>
      </c>
      <c r="E611" t="s">
        <v>48</v>
      </c>
      <c r="F611" t="s">
        <v>64</v>
      </c>
      <c r="G611">
        <v>13</v>
      </c>
      <c r="H611">
        <v>14</v>
      </c>
      <c r="I611" s="1">
        <f t="shared" si="9"/>
        <v>0.928571428571429</v>
      </c>
      <c r="J611" t="s">
        <v>94</v>
      </c>
      <c r="K611" t="s">
        <v>95</v>
      </c>
      <c r="L611" t="s">
        <v>570</v>
      </c>
      <c r="M611" t="s">
        <v>29</v>
      </c>
      <c r="N611" t="s">
        <v>30</v>
      </c>
    </row>
    <row r="612" spans="1:14">
      <c r="A612">
        <v>30587789</v>
      </c>
      <c r="B612" t="s">
        <v>571</v>
      </c>
      <c r="C612">
        <v>2018</v>
      </c>
      <c r="D612" t="s">
        <v>15</v>
      </c>
      <c r="E612" t="s">
        <v>77</v>
      </c>
      <c r="F612" t="s">
        <v>28</v>
      </c>
      <c r="G612">
        <v>776</v>
      </c>
      <c r="H612">
        <v>1991</v>
      </c>
      <c r="I612" s="1">
        <f t="shared" si="9"/>
        <v>0.389753892516323</v>
      </c>
      <c r="J612" t="s">
        <v>18</v>
      </c>
      <c r="K612" t="s">
        <v>19</v>
      </c>
      <c r="L612" t="s">
        <v>15</v>
      </c>
      <c r="M612" t="s">
        <v>20</v>
      </c>
      <c r="N612" t="s">
        <v>21</v>
      </c>
    </row>
    <row r="613" spans="1:14">
      <c r="A613">
        <v>30592384</v>
      </c>
      <c r="B613" t="s">
        <v>572</v>
      </c>
      <c r="C613">
        <v>2019</v>
      </c>
      <c r="D613" t="s">
        <v>249</v>
      </c>
      <c r="E613" t="s">
        <v>77</v>
      </c>
      <c r="F613" t="s">
        <v>64</v>
      </c>
      <c r="G613">
        <v>1</v>
      </c>
      <c r="H613">
        <v>1</v>
      </c>
      <c r="I613" s="1">
        <f t="shared" si="9"/>
        <v>1</v>
      </c>
      <c r="J613" t="s">
        <v>250</v>
      </c>
      <c r="K613" t="s">
        <v>251</v>
      </c>
      <c r="L613" t="s">
        <v>249</v>
      </c>
      <c r="M613" t="s">
        <v>29</v>
      </c>
      <c r="N613" t="s">
        <v>30</v>
      </c>
    </row>
    <row r="614" spans="1:14">
      <c r="A614">
        <v>30597741</v>
      </c>
      <c r="B614" t="s">
        <v>573</v>
      </c>
      <c r="C614">
        <v>2019</v>
      </c>
      <c r="D614" t="s">
        <v>124</v>
      </c>
      <c r="E614" t="s">
        <v>77</v>
      </c>
      <c r="F614" t="s">
        <v>64</v>
      </c>
      <c r="G614">
        <v>72</v>
      </c>
      <c r="H614">
        <v>398</v>
      </c>
      <c r="I614" s="1">
        <f t="shared" si="9"/>
        <v>0.180904522613065</v>
      </c>
      <c r="J614" t="s">
        <v>125</v>
      </c>
      <c r="K614" t="s">
        <v>126</v>
      </c>
      <c r="L614" t="s">
        <v>124</v>
      </c>
      <c r="M614" t="s">
        <v>258</v>
      </c>
      <c r="N614" t="s">
        <v>50</v>
      </c>
    </row>
    <row r="615" spans="1:14">
      <c r="A615">
        <v>30597741</v>
      </c>
      <c r="B615" t="s">
        <v>573</v>
      </c>
      <c r="C615">
        <v>2019</v>
      </c>
      <c r="D615" t="s">
        <v>124</v>
      </c>
      <c r="E615" t="s">
        <v>77</v>
      </c>
      <c r="F615" t="s">
        <v>64</v>
      </c>
      <c r="G615">
        <v>72</v>
      </c>
      <c r="H615">
        <v>398</v>
      </c>
      <c r="I615" s="1">
        <f t="shared" si="9"/>
        <v>0.180904522613065</v>
      </c>
      <c r="J615" t="s">
        <v>125</v>
      </c>
      <c r="K615" t="s">
        <v>126</v>
      </c>
      <c r="L615" t="s">
        <v>124</v>
      </c>
      <c r="M615" t="s">
        <v>78</v>
      </c>
      <c r="N615" t="s">
        <v>50</v>
      </c>
    </row>
    <row r="616" spans="1:14">
      <c r="A616">
        <v>30620627</v>
      </c>
      <c r="B616" t="s">
        <v>355</v>
      </c>
      <c r="C616">
        <v>2019</v>
      </c>
      <c r="D616" t="s">
        <v>45</v>
      </c>
      <c r="E616" t="s">
        <v>16</v>
      </c>
      <c r="F616" t="s">
        <v>17</v>
      </c>
      <c r="G616">
        <v>551</v>
      </c>
      <c r="H616">
        <v>1050</v>
      </c>
      <c r="I616" s="1">
        <f t="shared" si="9"/>
        <v>0.524761904761905</v>
      </c>
      <c r="J616" t="s">
        <v>23</v>
      </c>
      <c r="K616" t="s">
        <v>46</v>
      </c>
      <c r="L616" t="s">
        <v>45</v>
      </c>
      <c r="M616" t="s">
        <v>20</v>
      </c>
      <c r="N616" t="s">
        <v>21</v>
      </c>
    </row>
    <row r="617" spans="1:14">
      <c r="A617">
        <v>30620627</v>
      </c>
      <c r="B617" t="s">
        <v>355</v>
      </c>
      <c r="C617">
        <v>2019</v>
      </c>
      <c r="D617" t="s">
        <v>45</v>
      </c>
      <c r="E617" t="s">
        <v>51</v>
      </c>
      <c r="F617" t="s">
        <v>17</v>
      </c>
      <c r="G617">
        <v>2</v>
      </c>
      <c r="H617">
        <v>5</v>
      </c>
      <c r="I617" s="1">
        <f t="shared" si="9"/>
        <v>0.4</v>
      </c>
      <c r="J617" t="s">
        <v>23</v>
      </c>
      <c r="K617" t="s">
        <v>46</v>
      </c>
      <c r="L617" t="s">
        <v>45</v>
      </c>
      <c r="M617" t="s">
        <v>20</v>
      </c>
      <c r="N617" t="s">
        <v>21</v>
      </c>
    </row>
    <row r="618" spans="1:14">
      <c r="A618">
        <v>30667598</v>
      </c>
      <c r="B618" t="s">
        <v>574</v>
      </c>
      <c r="C618">
        <v>2019</v>
      </c>
      <c r="D618" t="s">
        <v>249</v>
      </c>
      <c r="E618" t="s">
        <v>77</v>
      </c>
      <c r="F618" t="s">
        <v>64</v>
      </c>
      <c r="G618">
        <v>1</v>
      </c>
      <c r="H618">
        <v>1</v>
      </c>
      <c r="I618" s="1">
        <f t="shared" si="9"/>
        <v>1</v>
      </c>
      <c r="J618" t="s">
        <v>250</v>
      </c>
      <c r="K618" t="s">
        <v>251</v>
      </c>
      <c r="L618" t="s">
        <v>249</v>
      </c>
      <c r="M618" t="s">
        <v>103</v>
      </c>
      <c r="N618" t="s">
        <v>50</v>
      </c>
    </row>
    <row r="619" spans="1:14">
      <c r="A619">
        <v>30681133</v>
      </c>
      <c r="B619" t="s">
        <v>390</v>
      </c>
      <c r="C619">
        <v>2018</v>
      </c>
      <c r="D619" t="s">
        <v>15</v>
      </c>
      <c r="E619" t="s">
        <v>77</v>
      </c>
      <c r="F619" t="s">
        <v>28</v>
      </c>
      <c r="G619">
        <v>433</v>
      </c>
      <c r="H619">
        <v>1425</v>
      </c>
      <c r="I619" s="1">
        <f t="shared" si="9"/>
        <v>0.303859649122807</v>
      </c>
      <c r="J619" t="s">
        <v>18</v>
      </c>
      <c r="K619" t="s">
        <v>19</v>
      </c>
      <c r="L619" t="s">
        <v>15</v>
      </c>
      <c r="M619" t="s">
        <v>75</v>
      </c>
      <c r="N619" t="s">
        <v>50</v>
      </c>
    </row>
    <row r="620" spans="1:14">
      <c r="A620">
        <v>30738024</v>
      </c>
      <c r="B620" t="s">
        <v>575</v>
      </c>
      <c r="C620">
        <v>2019</v>
      </c>
      <c r="D620" t="s">
        <v>124</v>
      </c>
      <c r="E620" t="s">
        <v>77</v>
      </c>
      <c r="F620" t="s">
        <v>28</v>
      </c>
      <c r="G620">
        <v>186</v>
      </c>
      <c r="H620">
        <v>758</v>
      </c>
      <c r="I620" s="1">
        <f t="shared" si="9"/>
        <v>0.245382585751979</v>
      </c>
      <c r="J620" t="s">
        <v>125</v>
      </c>
      <c r="K620" t="s">
        <v>126</v>
      </c>
      <c r="L620" t="s">
        <v>124</v>
      </c>
      <c r="M620" t="s">
        <v>29</v>
      </c>
      <c r="N620" t="s">
        <v>30</v>
      </c>
    </row>
    <row r="621" spans="1:14">
      <c r="A621">
        <v>30738024</v>
      </c>
      <c r="B621" t="s">
        <v>575</v>
      </c>
      <c r="C621">
        <v>2019</v>
      </c>
      <c r="D621" t="s">
        <v>195</v>
      </c>
      <c r="E621" t="s">
        <v>77</v>
      </c>
      <c r="F621" t="s">
        <v>28</v>
      </c>
      <c r="G621">
        <v>44</v>
      </c>
      <c r="H621">
        <v>758</v>
      </c>
      <c r="I621" s="1">
        <f t="shared" si="9"/>
        <v>0.0580474934036939</v>
      </c>
      <c r="J621" t="s">
        <v>85</v>
      </c>
      <c r="K621" t="s">
        <v>86</v>
      </c>
      <c r="L621" t="s">
        <v>195</v>
      </c>
      <c r="M621" t="s">
        <v>29</v>
      </c>
      <c r="N621" t="s">
        <v>30</v>
      </c>
    </row>
    <row r="622" spans="1:14">
      <c r="A622">
        <v>30795772</v>
      </c>
      <c r="B622" t="s">
        <v>576</v>
      </c>
      <c r="C622">
        <v>2019</v>
      </c>
      <c r="D622" t="s">
        <v>537</v>
      </c>
      <c r="E622" t="s">
        <v>77</v>
      </c>
      <c r="F622" t="s">
        <v>64</v>
      </c>
      <c r="G622">
        <v>26</v>
      </c>
      <c r="H622">
        <v>89</v>
      </c>
      <c r="I622" s="1">
        <f t="shared" si="9"/>
        <v>0.292134831460674</v>
      </c>
      <c r="J622" t="s">
        <v>94</v>
      </c>
      <c r="K622" t="s">
        <v>95</v>
      </c>
      <c r="L622" t="s">
        <v>537</v>
      </c>
      <c r="M622" t="s">
        <v>49</v>
      </c>
      <c r="N622" t="s">
        <v>50</v>
      </c>
    </row>
    <row r="623" spans="1:14">
      <c r="A623">
        <v>30826932</v>
      </c>
      <c r="B623" t="s">
        <v>334</v>
      </c>
      <c r="C623">
        <v>2019</v>
      </c>
      <c r="D623" t="s">
        <v>110</v>
      </c>
      <c r="E623" t="s">
        <v>51</v>
      </c>
      <c r="F623" t="s">
        <v>64</v>
      </c>
      <c r="G623">
        <v>7</v>
      </c>
      <c r="H623">
        <v>10</v>
      </c>
      <c r="I623" s="1">
        <f t="shared" si="9"/>
        <v>0.7</v>
      </c>
      <c r="J623" t="s">
        <v>43</v>
      </c>
      <c r="K623" t="s">
        <v>44</v>
      </c>
      <c r="L623" t="s">
        <v>110</v>
      </c>
      <c r="M623" t="s">
        <v>265</v>
      </c>
      <c r="N623" t="s">
        <v>50</v>
      </c>
    </row>
    <row r="624" spans="1:14">
      <c r="A624">
        <v>30861028</v>
      </c>
      <c r="B624" t="s">
        <v>577</v>
      </c>
      <c r="C624">
        <v>2019</v>
      </c>
      <c r="D624" t="s">
        <v>22</v>
      </c>
      <c r="E624" t="s">
        <v>51</v>
      </c>
      <c r="F624" t="s">
        <v>64</v>
      </c>
      <c r="G624">
        <v>173</v>
      </c>
      <c r="H624">
        <v>627</v>
      </c>
      <c r="I624" s="1">
        <f t="shared" si="9"/>
        <v>0.27591706539075</v>
      </c>
      <c r="J624" t="s">
        <v>23</v>
      </c>
      <c r="K624" t="s">
        <v>24</v>
      </c>
      <c r="L624" t="s">
        <v>22</v>
      </c>
      <c r="M624" t="s">
        <v>146</v>
      </c>
      <c r="N624" t="s">
        <v>134</v>
      </c>
    </row>
    <row r="625" spans="1:14">
      <c r="A625">
        <v>30861028</v>
      </c>
      <c r="B625" t="s">
        <v>577</v>
      </c>
      <c r="C625">
        <v>2019</v>
      </c>
      <c r="D625" t="s">
        <v>45</v>
      </c>
      <c r="E625" t="s">
        <v>51</v>
      </c>
      <c r="F625" t="s">
        <v>64</v>
      </c>
      <c r="G625">
        <v>95</v>
      </c>
      <c r="H625">
        <v>627</v>
      </c>
      <c r="I625" s="1">
        <f t="shared" si="9"/>
        <v>0.151515151515152</v>
      </c>
      <c r="J625" t="s">
        <v>23</v>
      </c>
      <c r="K625" t="s">
        <v>46</v>
      </c>
      <c r="L625" t="s">
        <v>45</v>
      </c>
      <c r="M625" t="s">
        <v>160</v>
      </c>
      <c r="N625" t="s">
        <v>50</v>
      </c>
    </row>
    <row r="626" spans="1:14">
      <c r="A626">
        <v>30861028</v>
      </c>
      <c r="B626" t="s">
        <v>577</v>
      </c>
      <c r="C626">
        <v>2019</v>
      </c>
      <c r="D626" t="s">
        <v>45</v>
      </c>
      <c r="E626" t="s">
        <v>51</v>
      </c>
      <c r="F626" t="s">
        <v>64</v>
      </c>
      <c r="G626">
        <v>95</v>
      </c>
      <c r="H626">
        <v>627</v>
      </c>
      <c r="I626" s="1">
        <f t="shared" si="9"/>
        <v>0.151515151515152</v>
      </c>
      <c r="J626" t="s">
        <v>23</v>
      </c>
      <c r="K626" t="s">
        <v>46</v>
      </c>
      <c r="L626" t="s">
        <v>45</v>
      </c>
      <c r="M626" t="s">
        <v>75</v>
      </c>
      <c r="N626" t="s">
        <v>50</v>
      </c>
    </row>
    <row r="627" spans="1:14">
      <c r="A627">
        <v>30861028</v>
      </c>
      <c r="B627" t="s">
        <v>577</v>
      </c>
      <c r="C627">
        <v>2019</v>
      </c>
      <c r="D627" t="s">
        <v>45</v>
      </c>
      <c r="E627" t="s">
        <v>51</v>
      </c>
      <c r="F627" t="s">
        <v>64</v>
      </c>
      <c r="G627">
        <v>95</v>
      </c>
      <c r="H627">
        <v>627</v>
      </c>
      <c r="I627" s="1">
        <f t="shared" si="9"/>
        <v>0.151515151515152</v>
      </c>
      <c r="J627" t="s">
        <v>23</v>
      </c>
      <c r="K627" t="s">
        <v>46</v>
      </c>
      <c r="L627" t="s">
        <v>45</v>
      </c>
      <c r="M627" t="s">
        <v>162</v>
      </c>
      <c r="N627" t="s">
        <v>50</v>
      </c>
    </row>
    <row r="628" spans="1:14">
      <c r="A628">
        <v>30861028</v>
      </c>
      <c r="B628" t="s">
        <v>577</v>
      </c>
      <c r="C628">
        <v>2019</v>
      </c>
      <c r="D628" t="s">
        <v>45</v>
      </c>
      <c r="E628" t="s">
        <v>51</v>
      </c>
      <c r="F628" t="s">
        <v>64</v>
      </c>
      <c r="G628">
        <v>95</v>
      </c>
      <c r="H628">
        <v>627</v>
      </c>
      <c r="I628" s="1">
        <f t="shared" si="9"/>
        <v>0.151515151515152</v>
      </c>
      <c r="J628" t="s">
        <v>23</v>
      </c>
      <c r="K628" t="s">
        <v>46</v>
      </c>
      <c r="L628" t="s">
        <v>45</v>
      </c>
      <c r="M628" t="s">
        <v>146</v>
      </c>
      <c r="N628" t="s">
        <v>50</v>
      </c>
    </row>
    <row r="629" spans="1:14">
      <c r="A629">
        <v>30861028</v>
      </c>
      <c r="B629" t="s">
        <v>577</v>
      </c>
      <c r="C629">
        <v>2019</v>
      </c>
      <c r="D629" t="s">
        <v>22</v>
      </c>
      <c r="E629" t="s">
        <v>51</v>
      </c>
      <c r="F629" t="s">
        <v>64</v>
      </c>
      <c r="G629">
        <v>173</v>
      </c>
      <c r="H629">
        <v>627</v>
      </c>
      <c r="I629" s="1">
        <f t="shared" si="9"/>
        <v>0.27591706539075</v>
      </c>
      <c r="J629" t="s">
        <v>23</v>
      </c>
      <c r="K629" t="s">
        <v>24</v>
      </c>
      <c r="L629" t="s">
        <v>22</v>
      </c>
      <c r="M629" t="s">
        <v>160</v>
      </c>
      <c r="N629" t="s">
        <v>134</v>
      </c>
    </row>
    <row r="630" spans="1:14">
      <c r="A630">
        <v>30861028</v>
      </c>
      <c r="B630" t="s">
        <v>577</v>
      </c>
      <c r="C630">
        <v>2019</v>
      </c>
      <c r="D630" t="s">
        <v>22</v>
      </c>
      <c r="E630" t="s">
        <v>51</v>
      </c>
      <c r="F630" t="s">
        <v>64</v>
      </c>
      <c r="G630">
        <v>173</v>
      </c>
      <c r="H630">
        <v>627</v>
      </c>
      <c r="I630" s="1">
        <f t="shared" si="9"/>
        <v>0.27591706539075</v>
      </c>
      <c r="J630" t="s">
        <v>23</v>
      </c>
      <c r="K630" t="s">
        <v>24</v>
      </c>
      <c r="L630" t="s">
        <v>22</v>
      </c>
      <c r="M630" t="s">
        <v>75</v>
      </c>
      <c r="N630" t="s">
        <v>134</v>
      </c>
    </row>
    <row r="631" spans="1:14">
      <c r="A631">
        <v>30861028</v>
      </c>
      <c r="B631" t="s">
        <v>577</v>
      </c>
      <c r="C631">
        <v>2019</v>
      </c>
      <c r="D631" t="s">
        <v>22</v>
      </c>
      <c r="E631" t="s">
        <v>51</v>
      </c>
      <c r="F631" t="s">
        <v>64</v>
      </c>
      <c r="G631">
        <v>173</v>
      </c>
      <c r="H631">
        <v>627</v>
      </c>
      <c r="I631" s="1">
        <f t="shared" si="9"/>
        <v>0.27591706539075</v>
      </c>
      <c r="J631" t="s">
        <v>23</v>
      </c>
      <c r="K631" t="s">
        <v>24</v>
      </c>
      <c r="L631" t="s">
        <v>22</v>
      </c>
      <c r="M631" t="s">
        <v>162</v>
      </c>
      <c r="N631" t="s">
        <v>134</v>
      </c>
    </row>
    <row r="632" spans="1:14">
      <c r="A632">
        <v>30876888</v>
      </c>
      <c r="B632" t="s">
        <v>577</v>
      </c>
      <c r="C632">
        <v>2019</v>
      </c>
      <c r="D632" t="s">
        <v>124</v>
      </c>
      <c r="E632" t="s">
        <v>77</v>
      </c>
      <c r="F632" t="s">
        <v>64</v>
      </c>
      <c r="G632">
        <v>12</v>
      </c>
      <c r="H632">
        <v>138</v>
      </c>
      <c r="I632" s="1">
        <f t="shared" si="9"/>
        <v>0.0869565217391304</v>
      </c>
      <c r="J632" t="s">
        <v>125</v>
      </c>
      <c r="K632" t="s">
        <v>126</v>
      </c>
      <c r="L632" t="s">
        <v>124</v>
      </c>
      <c r="M632" t="s">
        <v>75</v>
      </c>
      <c r="N632" t="s">
        <v>50</v>
      </c>
    </row>
    <row r="633" spans="1:14">
      <c r="A633">
        <v>30890143</v>
      </c>
      <c r="B633" t="s">
        <v>578</v>
      </c>
      <c r="C633">
        <v>2019</v>
      </c>
      <c r="D633" t="s">
        <v>124</v>
      </c>
      <c r="E633" t="s">
        <v>77</v>
      </c>
      <c r="F633" t="s">
        <v>64</v>
      </c>
      <c r="G633">
        <v>83</v>
      </c>
      <c r="H633">
        <v>720</v>
      </c>
      <c r="I633" s="1">
        <f t="shared" si="9"/>
        <v>0.115277777777778</v>
      </c>
      <c r="J633" t="s">
        <v>125</v>
      </c>
      <c r="K633" t="s">
        <v>126</v>
      </c>
      <c r="L633" t="s">
        <v>124</v>
      </c>
      <c r="M633" t="s">
        <v>160</v>
      </c>
      <c r="N633" t="s">
        <v>50</v>
      </c>
    </row>
    <row r="634" spans="1:14">
      <c r="A634">
        <v>30901142</v>
      </c>
      <c r="B634" t="s">
        <v>536</v>
      </c>
      <c r="C634">
        <v>2019</v>
      </c>
      <c r="D634" t="s">
        <v>537</v>
      </c>
      <c r="E634" t="s">
        <v>77</v>
      </c>
      <c r="F634" t="s">
        <v>64</v>
      </c>
      <c r="G634">
        <v>13</v>
      </c>
      <c r="H634">
        <v>29</v>
      </c>
      <c r="I634" s="1">
        <f t="shared" si="9"/>
        <v>0.448275862068966</v>
      </c>
      <c r="J634" t="s">
        <v>94</v>
      </c>
      <c r="K634" t="s">
        <v>95</v>
      </c>
      <c r="L634" t="s">
        <v>537</v>
      </c>
      <c r="M634" t="s">
        <v>75</v>
      </c>
      <c r="N634" t="s">
        <v>50</v>
      </c>
    </row>
    <row r="635" spans="1:14">
      <c r="A635">
        <v>30902589</v>
      </c>
      <c r="B635" t="s">
        <v>488</v>
      </c>
      <c r="C635">
        <v>2019</v>
      </c>
      <c r="D635" t="s">
        <v>579</v>
      </c>
      <c r="E635" t="s">
        <v>77</v>
      </c>
      <c r="F635" t="s">
        <v>64</v>
      </c>
      <c r="G635">
        <v>128</v>
      </c>
      <c r="H635">
        <v>743</v>
      </c>
      <c r="I635" s="1">
        <f t="shared" si="9"/>
        <v>0.172274562584118</v>
      </c>
      <c r="J635" t="s">
        <v>55</v>
      </c>
      <c r="K635" t="s">
        <v>56</v>
      </c>
      <c r="L635" t="s">
        <v>579</v>
      </c>
      <c r="M635" t="s">
        <v>68</v>
      </c>
      <c r="N635" t="s">
        <v>30</v>
      </c>
    </row>
    <row r="636" spans="1:14">
      <c r="A636">
        <v>30902589</v>
      </c>
      <c r="B636" t="s">
        <v>488</v>
      </c>
      <c r="C636">
        <v>2019</v>
      </c>
      <c r="D636" t="s">
        <v>580</v>
      </c>
      <c r="E636" t="s">
        <v>16</v>
      </c>
      <c r="F636" t="s">
        <v>64</v>
      </c>
      <c r="G636">
        <v>0</v>
      </c>
      <c r="H636">
        <v>206</v>
      </c>
      <c r="I636" s="1">
        <f t="shared" si="9"/>
        <v>0</v>
      </c>
      <c r="J636" t="s">
        <v>55</v>
      </c>
      <c r="K636" t="s">
        <v>56</v>
      </c>
      <c r="L636" t="s">
        <v>580</v>
      </c>
      <c r="M636" t="s">
        <v>68</v>
      </c>
      <c r="N636" t="s">
        <v>30</v>
      </c>
    </row>
    <row r="637" spans="1:14">
      <c r="A637">
        <v>30902589</v>
      </c>
      <c r="B637" t="s">
        <v>488</v>
      </c>
      <c r="C637">
        <v>2019</v>
      </c>
      <c r="D637" t="s">
        <v>176</v>
      </c>
      <c r="E637" t="s">
        <v>77</v>
      </c>
      <c r="F637" t="s">
        <v>64</v>
      </c>
      <c r="G637">
        <v>235</v>
      </c>
      <c r="H637">
        <v>743</v>
      </c>
      <c r="I637" s="1">
        <f t="shared" si="9"/>
        <v>0.31628532974428</v>
      </c>
      <c r="J637" t="s">
        <v>55</v>
      </c>
      <c r="K637" t="s">
        <v>56</v>
      </c>
      <c r="L637" t="s">
        <v>176</v>
      </c>
      <c r="M637" t="s">
        <v>68</v>
      </c>
      <c r="N637" t="s">
        <v>30</v>
      </c>
    </row>
    <row r="638" spans="1:14">
      <c r="A638">
        <v>30902589</v>
      </c>
      <c r="B638" t="s">
        <v>488</v>
      </c>
      <c r="C638">
        <v>2019</v>
      </c>
      <c r="D638" t="s">
        <v>579</v>
      </c>
      <c r="E638" t="s">
        <v>16</v>
      </c>
      <c r="F638" t="s">
        <v>28</v>
      </c>
      <c r="G638">
        <v>0</v>
      </c>
      <c r="H638">
        <v>206</v>
      </c>
      <c r="I638" s="1">
        <f t="shared" si="9"/>
        <v>0</v>
      </c>
      <c r="J638" t="s">
        <v>55</v>
      </c>
      <c r="K638" t="s">
        <v>56</v>
      </c>
      <c r="L638" t="s">
        <v>579</v>
      </c>
      <c r="M638" t="s">
        <v>68</v>
      </c>
      <c r="N638" t="s">
        <v>30</v>
      </c>
    </row>
    <row r="639" spans="1:14">
      <c r="A639">
        <v>30902589</v>
      </c>
      <c r="B639" t="s">
        <v>488</v>
      </c>
      <c r="C639">
        <v>2019</v>
      </c>
      <c r="D639" t="s">
        <v>580</v>
      </c>
      <c r="E639" t="s">
        <v>77</v>
      </c>
      <c r="F639" t="s">
        <v>64</v>
      </c>
      <c r="G639">
        <v>7</v>
      </c>
      <c r="H639">
        <v>46</v>
      </c>
      <c r="I639" s="1">
        <f t="shared" si="9"/>
        <v>0.152173913043478</v>
      </c>
      <c r="J639" t="s">
        <v>55</v>
      </c>
      <c r="K639" t="s">
        <v>56</v>
      </c>
      <c r="L639" t="s">
        <v>580</v>
      </c>
      <c r="M639" t="s">
        <v>68</v>
      </c>
      <c r="N639" t="s">
        <v>30</v>
      </c>
    </row>
    <row r="640" spans="1:14">
      <c r="A640">
        <v>30902589</v>
      </c>
      <c r="B640" t="s">
        <v>488</v>
      </c>
      <c r="C640">
        <v>2019</v>
      </c>
      <c r="D640" t="s">
        <v>579</v>
      </c>
      <c r="E640" t="s">
        <v>16</v>
      </c>
      <c r="F640" t="s">
        <v>64</v>
      </c>
      <c r="G640">
        <v>0</v>
      </c>
      <c r="H640">
        <v>206</v>
      </c>
      <c r="I640" s="1">
        <f t="shared" si="9"/>
        <v>0</v>
      </c>
      <c r="J640" t="s">
        <v>55</v>
      </c>
      <c r="K640" t="s">
        <v>56</v>
      </c>
      <c r="L640" t="s">
        <v>579</v>
      </c>
      <c r="M640" t="s">
        <v>68</v>
      </c>
      <c r="N640" t="s">
        <v>30</v>
      </c>
    </row>
    <row r="641" spans="1:14">
      <c r="A641">
        <v>30902589</v>
      </c>
      <c r="B641" t="s">
        <v>488</v>
      </c>
      <c r="C641">
        <v>2019</v>
      </c>
      <c r="D641" t="s">
        <v>579</v>
      </c>
      <c r="E641" t="s">
        <v>27</v>
      </c>
      <c r="F641" t="s">
        <v>28</v>
      </c>
      <c r="G641">
        <v>0</v>
      </c>
      <c r="H641">
        <v>71</v>
      </c>
      <c r="I641" s="1">
        <f t="shared" si="9"/>
        <v>0</v>
      </c>
      <c r="J641" t="s">
        <v>55</v>
      </c>
      <c r="K641" t="s">
        <v>56</v>
      </c>
      <c r="L641" t="s">
        <v>579</v>
      </c>
      <c r="M641" t="s">
        <v>68</v>
      </c>
      <c r="N641" t="s">
        <v>30</v>
      </c>
    </row>
    <row r="642" spans="1:14">
      <c r="A642">
        <v>30902589</v>
      </c>
      <c r="B642" t="s">
        <v>488</v>
      </c>
      <c r="C642">
        <v>2019</v>
      </c>
      <c r="D642" t="s">
        <v>580</v>
      </c>
      <c r="E642" t="s">
        <v>27</v>
      </c>
      <c r="F642" t="s">
        <v>64</v>
      </c>
      <c r="G642">
        <v>0</v>
      </c>
      <c r="H642">
        <v>71</v>
      </c>
      <c r="I642" s="1">
        <f t="shared" si="9"/>
        <v>0</v>
      </c>
      <c r="J642" t="s">
        <v>55</v>
      </c>
      <c r="K642" t="s">
        <v>56</v>
      </c>
      <c r="L642" t="s">
        <v>580</v>
      </c>
      <c r="M642" t="s">
        <v>68</v>
      </c>
      <c r="N642" t="s">
        <v>30</v>
      </c>
    </row>
    <row r="643" spans="1:14">
      <c r="A643">
        <v>30902589</v>
      </c>
      <c r="B643" t="s">
        <v>488</v>
      </c>
      <c r="C643">
        <v>2019</v>
      </c>
      <c r="D643" t="s">
        <v>579</v>
      </c>
      <c r="E643" t="s">
        <v>27</v>
      </c>
      <c r="F643" t="s">
        <v>64</v>
      </c>
      <c r="G643">
        <v>0</v>
      </c>
      <c r="H643">
        <v>71</v>
      </c>
      <c r="I643" s="1">
        <f t="shared" ref="I643:I706" si="10">G643/H643</f>
        <v>0</v>
      </c>
      <c r="J643" t="s">
        <v>55</v>
      </c>
      <c r="K643" t="s">
        <v>56</v>
      </c>
      <c r="L643" t="s">
        <v>579</v>
      </c>
      <c r="M643" t="s">
        <v>68</v>
      </c>
      <c r="N643" t="s">
        <v>30</v>
      </c>
    </row>
    <row r="644" spans="1:14">
      <c r="A644">
        <v>30902589</v>
      </c>
      <c r="B644" t="s">
        <v>488</v>
      </c>
      <c r="C644">
        <v>2019</v>
      </c>
      <c r="D644" t="s">
        <v>53</v>
      </c>
      <c r="E644" t="s">
        <v>77</v>
      </c>
      <c r="F644" t="s">
        <v>64</v>
      </c>
      <c r="G644">
        <v>1</v>
      </c>
      <c r="H644">
        <v>48</v>
      </c>
      <c r="I644" s="1">
        <f t="shared" si="10"/>
        <v>0.0208333333333333</v>
      </c>
      <c r="J644" t="s">
        <v>55</v>
      </c>
      <c r="K644" t="s">
        <v>56</v>
      </c>
      <c r="L644" t="s">
        <v>53</v>
      </c>
      <c r="M644" t="s">
        <v>68</v>
      </c>
      <c r="N644" t="s">
        <v>30</v>
      </c>
    </row>
    <row r="645" spans="1:14">
      <c r="A645">
        <v>30902589</v>
      </c>
      <c r="B645" t="s">
        <v>488</v>
      </c>
      <c r="C645">
        <v>2019</v>
      </c>
      <c r="D645" t="s">
        <v>176</v>
      </c>
      <c r="E645" t="s">
        <v>77</v>
      </c>
      <c r="F645" t="s">
        <v>28</v>
      </c>
      <c r="G645">
        <v>235</v>
      </c>
      <c r="H645">
        <v>743</v>
      </c>
      <c r="I645" s="1">
        <f t="shared" si="10"/>
        <v>0.31628532974428</v>
      </c>
      <c r="J645" t="s">
        <v>55</v>
      </c>
      <c r="K645" t="s">
        <v>56</v>
      </c>
      <c r="L645" t="s">
        <v>176</v>
      </c>
      <c r="M645" t="s">
        <v>68</v>
      </c>
      <c r="N645" t="s">
        <v>30</v>
      </c>
    </row>
    <row r="646" spans="1:14">
      <c r="A646">
        <v>30902589</v>
      </c>
      <c r="B646" t="s">
        <v>488</v>
      </c>
      <c r="C646">
        <v>2019</v>
      </c>
      <c r="D646" t="s">
        <v>579</v>
      </c>
      <c r="E646" t="s">
        <v>77</v>
      </c>
      <c r="F646" t="s">
        <v>28</v>
      </c>
      <c r="G646">
        <v>128</v>
      </c>
      <c r="H646">
        <v>743</v>
      </c>
      <c r="I646" s="1">
        <f t="shared" si="10"/>
        <v>0.172274562584118</v>
      </c>
      <c r="J646" t="s">
        <v>55</v>
      </c>
      <c r="K646" t="s">
        <v>56</v>
      </c>
      <c r="L646" t="s">
        <v>579</v>
      </c>
      <c r="M646" t="s">
        <v>68</v>
      </c>
      <c r="N646" t="s">
        <v>30</v>
      </c>
    </row>
    <row r="647" spans="1:14">
      <c r="A647">
        <v>30922086</v>
      </c>
      <c r="B647" t="s">
        <v>581</v>
      </c>
      <c r="C647">
        <v>2019</v>
      </c>
      <c r="D647" t="s">
        <v>263</v>
      </c>
      <c r="E647" t="s">
        <v>77</v>
      </c>
      <c r="F647" t="s">
        <v>64</v>
      </c>
      <c r="G647">
        <v>1</v>
      </c>
      <c r="H647">
        <v>1</v>
      </c>
      <c r="I647" s="1">
        <f t="shared" si="10"/>
        <v>1</v>
      </c>
      <c r="J647" t="s">
        <v>38</v>
      </c>
      <c r="K647" t="s">
        <v>39</v>
      </c>
      <c r="L647" t="s">
        <v>263</v>
      </c>
      <c r="M647" t="s">
        <v>75</v>
      </c>
      <c r="N647" t="s">
        <v>50</v>
      </c>
    </row>
    <row r="648" spans="1:14">
      <c r="A648">
        <v>30961660</v>
      </c>
      <c r="B648" t="s">
        <v>582</v>
      </c>
      <c r="C648">
        <v>2019</v>
      </c>
      <c r="D648" t="s">
        <v>22</v>
      </c>
      <c r="E648" t="s">
        <v>48</v>
      </c>
      <c r="F648" t="s">
        <v>64</v>
      </c>
      <c r="G648">
        <v>0</v>
      </c>
      <c r="H648">
        <v>6</v>
      </c>
      <c r="I648" s="1">
        <f t="shared" si="10"/>
        <v>0</v>
      </c>
      <c r="J648" t="s">
        <v>23</v>
      </c>
      <c r="K648" t="s">
        <v>24</v>
      </c>
      <c r="L648" t="s">
        <v>22</v>
      </c>
      <c r="M648" t="s">
        <v>29</v>
      </c>
      <c r="N648" t="s">
        <v>30</v>
      </c>
    </row>
    <row r="649" spans="1:14">
      <c r="A649">
        <v>30961660</v>
      </c>
      <c r="B649" t="s">
        <v>582</v>
      </c>
      <c r="C649">
        <v>2019</v>
      </c>
      <c r="D649" t="s">
        <v>124</v>
      </c>
      <c r="E649" t="s">
        <v>48</v>
      </c>
      <c r="F649" t="s">
        <v>64</v>
      </c>
      <c r="G649">
        <v>0</v>
      </c>
      <c r="H649">
        <v>6</v>
      </c>
      <c r="I649" s="1">
        <f t="shared" si="10"/>
        <v>0</v>
      </c>
      <c r="J649" t="s">
        <v>125</v>
      </c>
      <c r="K649" t="s">
        <v>126</v>
      </c>
      <c r="L649" t="s">
        <v>124</v>
      </c>
      <c r="M649" t="s">
        <v>29</v>
      </c>
      <c r="N649" t="s">
        <v>30</v>
      </c>
    </row>
    <row r="650" spans="1:14">
      <c r="A650">
        <v>30961660</v>
      </c>
      <c r="B650" t="s">
        <v>582</v>
      </c>
      <c r="C650">
        <v>2019</v>
      </c>
      <c r="D650" t="s">
        <v>15</v>
      </c>
      <c r="E650" t="s">
        <v>48</v>
      </c>
      <c r="F650" t="s">
        <v>64</v>
      </c>
      <c r="G650">
        <v>0</v>
      </c>
      <c r="H650">
        <v>6</v>
      </c>
      <c r="I650" s="1">
        <f t="shared" si="10"/>
        <v>0</v>
      </c>
      <c r="J650" t="s">
        <v>18</v>
      </c>
      <c r="K650" t="s">
        <v>19</v>
      </c>
      <c r="L650" t="s">
        <v>15</v>
      </c>
      <c r="M650" t="s">
        <v>29</v>
      </c>
      <c r="N650" t="s">
        <v>30</v>
      </c>
    </row>
    <row r="651" spans="1:14">
      <c r="A651">
        <v>30961660</v>
      </c>
      <c r="B651" t="s">
        <v>582</v>
      </c>
      <c r="C651">
        <v>2019</v>
      </c>
      <c r="D651" t="s">
        <v>115</v>
      </c>
      <c r="E651" t="s">
        <v>48</v>
      </c>
      <c r="F651" t="s">
        <v>64</v>
      </c>
      <c r="G651">
        <v>0</v>
      </c>
      <c r="H651">
        <v>6</v>
      </c>
      <c r="I651" s="1">
        <f t="shared" si="10"/>
        <v>0</v>
      </c>
      <c r="J651" t="s">
        <v>38</v>
      </c>
      <c r="K651" t="s">
        <v>39</v>
      </c>
      <c r="L651" t="s">
        <v>115</v>
      </c>
      <c r="M651" t="s">
        <v>29</v>
      </c>
      <c r="N651" t="s">
        <v>30</v>
      </c>
    </row>
    <row r="652" spans="1:14">
      <c r="A652">
        <v>30961660</v>
      </c>
      <c r="B652" t="s">
        <v>582</v>
      </c>
      <c r="C652">
        <v>2019</v>
      </c>
      <c r="D652" t="s">
        <v>93</v>
      </c>
      <c r="E652" t="s">
        <v>48</v>
      </c>
      <c r="F652" t="s">
        <v>64</v>
      </c>
      <c r="G652">
        <v>196</v>
      </c>
      <c r="H652">
        <v>306</v>
      </c>
      <c r="I652" s="1">
        <f t="shared" si="10"/>
        <v>0.640522875816993</v>
      </c>
      <c r="J652" t="s">
        <v>94</v>
      </c>
      <c r="K652" t="s">
        <v>95</v>
      </c>
      <c r="L652" t="s">
        <v>93</v>
      </c>
      <c r="M652" t="s">
        <v>29</v>
      </c>
      <c r="N652" t="s">
        <v>30</v>
      </c>
    </row>
    <row r="653" spans="1:14">
      <c r="A653">
        <v>30961660</v>
      </c>
      <c r="B653" t="s">
        <v>582</v>
      </c>
      <c r="C653">
        <v>2019</v>
      </c>
      <c r="D653" t="s">
        <v>110</v>
      </c>
      <c r="E653" t="s">
        <v>48</v>
      </c>
      <c r="F653" t="s">
        <v>64</v>
      </c>
      <c r="G653">
        <v>0</v>
      </c>
      <c r="H653">
        <v>6</v>
      </c>
      <c r="I653" s="1">
        <f t="shared" si="10"/>
        <v>0</v>
      </c>
      <c r="J653" t="s">
        <v>43</v>
      </c>
      <c r="K653" t="s">
        <v>44</v>
      </c>
      <c r="L653" t="s">
        <v>110</v>
      </c>
      <c r="M653" t="s">
        <v>29</v>
      </c>
      <c r="N653" t="s">
        <v>30</v>
      </c>
    </row>
    <row r="654" spans="1:14">
      <c r="A654">
        <v>31019149</v>
      </c>
      <c r="B654" t="s">
        <v>583</v>
      </c>
      <c r="C654">
        <v>2019</v>
      </c>
      <c r="D654" t="s">
        <v>176</v>
      </c>
      <c r="E654" t="s">
        <v>77</v>
      </c>
      <c r="F654" t="s">
        <v>64</v>
      </c>
      <c r="G654">
        <v>32</v>
      </c>
      <c r="H654">
        <v>37</v>
      </c>
      <c r="I654" s="1">
        <f t="shared" si="10"/>
        <v>0.864864864864865</v>
      </c>
      <c r="J654" t="s">
        <v>55</v>
      </c>
      <c r="K654" t="s">
        <v>56</v>
      </c>
      <c r="L654" t="s">
        <v>176</v>
      </c>
      <c r="M654" t="s">
        <v>68</v>
      </c>
      <c r="N654" t="s">
        <v>30</v>
      </c>
    </row>
    <row r="655" spans="1:14">
      <c r="A655">
        <v>31023162</v>
      </c>
      <c r="B655" t="s">
        <v>584</v>
      </c>
      <c r="C655">
        <v>2019</v>
      </c>
      <c r="D655" t="s">
        <v>22</v>
      </c>
      <c r="E655" t="s">
        <v>16</v>
      </c>
      <c r="F655" t="s">
        <v>64</v>
      </c>
      <c r="G655">
        <v>1</v>
      </c>
      <c r="H655">
        <v>3</v>
      </c>
      <c r="I655" s="1">
        <f t="shared" si="10"/>
        <v>0.333333333333333</v>
      </c>
      <c r="J655" t="s">
        <v>23</v>
      </c>
      <c r="K655" t="s">
        <v>24</v>
      </c>
      <c r="L655" t="s">
        <v>22</v>
      </c>
      <c r="M655" t="s">
        <v>20</v>
      </c>
      <c r="N655" t="s">
        <v>21</v>
      </c>
    </row>
    <row r="656" spans="1:14">
      <c r="A656">
        <v>31027773</v>
      </c>
      <c r="B656" t="s">
        <v>585</v>
      </c>
      <c r="C656">
        <v>2019</v>
      </c>
      <c r="D656" t="s">
        <v>124</v>
      </c>
      <c r="E656" t="s">
        <v>77</v>
      </c>
      <c r="F656" t="s">
        <v>64</v>
      </c>
      <c r="G656">
        <v>54</v>
      </c>
      <c r="H656">
        <v>332</v>
      </c>
      <c r="I656" s="1">
        <f t="shared" si="10"/>
        <v>0.162650602409639</v>
      </c>
      <c r="J656" t="s">
        <v>125</v>
      </c>
      <c r="K656" t="s">
        <v>126</v>
      </c>
      <c r="L656" t="s">
        <v>124</v>
      </c>
      <c r="M656" t="s">
        <v>75</v>
      </c>
      <c r="N656" t="s">
        <v>50</v>
      </c>
    </row>
    <row r="657" spans="1:14">
      <c r="A657">
        <v>31063092</v>
      </c>
      <c r="B657" t="s">
        <v>586</v>
      </c>
      <c r="C657">
        <v>2019</v>
      </c>
      <c r="D657" t="s">
        <v>364</v>
      </c>
      <c r="E657" t="s">
        <v>131</v>
      </c>
      <c r="F657" t="s">
        <v>64</v>
      </c>
      <c r="G657">
        <v>38</v>
      </c>
      <c r="H657">
        <v>351</v>
      </c>
      <c r="I657" s="1">
        <f t="shared" si="10"/>
        <v>0.108262108262108</v>
      </c>
      <c r="J657" t="s">
        <v>365</v>
      </c>
      <c r="K657" t="s">
        <v>113</v>
      </c>
      <c r="L657" t="s">
        <v>364</v>
      </c>
      <c r="M657" t="s">
        <v>202</v>
      </c>
      <c r="N657" t="s">
        <v>50</v>
      </c>
    </row>
    <row r="658" spans="1:14">
      <c r="A658">
        <v>31101069</v>
      </c>
      <c r="B658" t="s">
        <v>587</v>
      </c>
      <c r="C658">
        <v>2019</v>
      </c>
      <c r="D658" t="s">
        <v>176</v>
      </c>
      <c r="E658" t="s">
        <v>77</v>
      </c>
      <c r="F658" t="s">
        <v>41</v>
      </c>
      <c r="G658">
        <v>10</v>
      </c>
      <c r="H658">
        <v>66</v>
      </c>
      <c r="I658" s="1">
        <f t="shared" si="10"/>
        <v>0.151515151515152</v>
      </c>
      <c r="J658" t="s">
        <v>55</v>
      </c>
      <c r="K658" t="s">
        <v>56</v>
      </c>
      <c r="L658" t="s">
        <v>176</v>
      </c>
      <c r="M658" t="s">
        <v>588</v>
      </c>
      <c r="N658" t="s">
        <v>30</v>
      </c>
    </row>
    <row r="659" spans="1:14">
      <c r="A659">
        <v>31111932</v>
      </c>
      <c r="B659" t="s">
        <v>589</v>
      </c>
      <c r="C659">
        <v>2019</v>
      </c>
      <c r="D659" t="s">
        <v>124</v>
      </c>
      <c r="E659" t="s">
        <v>77</v>
      </c>
      <c r="F659" t="s">
        <v>28</v>
      </c>
      <c r="G659">
        <v>20</v>
      </c>
      <c r="H659">
        <v>102</v>
      </c>
      <c r="I659" s="1">
        <f t="shared" si="10"/>
        <v>0.196078431372549</v>
      </c>
      <c r="J659" t="s">
        <v>125</v>
      </c>
      <c r="K659" t="s">
        <v>126</v>
      </c>
      <c r="L659" t="s">
        <v>124</v>
      </c>
      <c r="M659" t="s">
        <v>590</v>
      </c>
      <c r="N659" t="s">
        <v>350</v>
      </c>
    </row>
    <row r="660" spans="1:14">
      <c r="A660">
        <v>31112466</v>
      </c>
      <c r="B660" t="s">
        <v>591</v>
      </c>
      <c r="C660">
        <v>2019</v>
      </c>
      <c r="D660" t="s">
        <v>176</v>
      </c>
      <c r="E660" t="s">
        <v>77</v>
      </c>
      <c r="F660" t="s">
        <v>137</v>
      </c>
      <c r="G660">
        <v>59</v>
      </c>
      <c r="H660">
        <v>80</v>
      </c>
      <c r="I660" s="1">
        <f t="shared" si="10"/>
        <v>0.7375</v>
      </c>
      <c r="J660" t="s">
        <v>55</v>
      </c>
      <c r="K660" t="s">
        <v>56</v>
      </c>
      <c r="L660" t="s">
        <v>176</v>
      </c>
      <c r="M660" t="s">
        <v>68</v>
      </c>
      <c r="N660" t="s">
        <v>30</v>
      </c>
    </row>
    <row r="661" spans="1:14">
      <c r="A661">
        <v>31127865</v>
      </c>
      <c r="B661" t="s">
        <v>592</v>
      </c>
      <c r="C661">
        <v>2019</v>
      </c>
      <c r="D661" t="s">
        <v>124</v>
      </c>
      <c r="E661" t="s">
        <v>77</v>
      </c>
      <c r="F661" t="s">
        <v>64</v>
      </c>
      <c r="G661">
        <v>1</v>
      </c>
      <c r="H661">
        <v>99</v>
      </c>
      <c r="I661" s="1">
        <f t="shared" si="10"/>
        <v>0.0101010101010101</v>
      </c>
      <c r="J661" t="s">
        <v>125</v>
      </c>
      <c r="K661" t="s">
        <v>126</v>
      </c>
      <c r="L661" t="s">
        <v>124</v>
      </c>
      <c r="M661" t="s">
        <v>78</v>
      </c>
      <c r="N661" t="s">
        <v>50</v>
      </c>
    </row>
    <row r="662" spans="1:14">
      <c r="A662">
        <v>31168750</v>
      </c>
      <c r="B662" t="s">
        <v>593</v>
      </c>
      <c r="C662">
        <v>2019</v>
      </c>
      <c r="D662" t="s">
        <v>594</v>
      </c>
      <c r="E662" t="s">
        <v>51</v>
      </c>
      <c r="F662" t="s">
        <v>64</v>
      </c>
      <c r="G662">
        <v>9</v>
      </c>
      <c r="H662">
        <v>86</v>
      </c>
      <c r="I662" s="1">
        <f t="shared" si="10"/>
        <v>0.104651162790698</v>
      </c>
      <c r="J662" t="s">
        <v>38</v>
      </c>
      <c r="K662" t="s">
        <v>39</v>
      </c>
      <c r="L662" t="s">
        <v>594</v>
      </c>
      <c r="M662" t="s">
        <v>75</v>
      </c>
      <c r="N662" t="s">
        <v>50</v>
      </c>
    </row>
    <row r="663" spans="1:14">
      <c r="A663">
        <v>31186505</v>
      </c>
      <c r="B663" t="s">
        <v>595</v>
      </c>
      <c r="C663">
        <v>2019</v>
      </c>
      <c r="D663" t="s">
        <v>249</v>
      </c>
      <c r="E663" t="s">
        <v>77</v>
      </c>
      <c r="F663" t="s">
        <v>64</v>
      </c>
      <c r="G663">
        <v>2897</v>
      </c>
      <c r="H663">
        <v>36456</v>
      </c>
      <c r="I663" s="1">
        <f t="shared" si="10"/>
        <v>0.0794656572306342</v>
      </c>
      <c r="J663" t="s">
        <v>250</v>
      </c>
      <c r="K663" t="s">
        <v>251</v>
      </c>
      <c r="L663" t="s">
        <v>249</v>
      </c>
      <c r="M663" t="s">
        <v>416</v>
      </c>
      <c r="N663" t="s">
        <v>50</v>
      </c>
    </row>
    <row r="664" spans="1:14">
      <c r="A664">
        <v>31506837</v>
      </c>
      <c r="B664" t="s">
        <v>556</v>
      </c>
      <c r="C664">
        <v>2020</v>
      </c>
      <c r="D664" t="s">
        <v>124</v>
      </c>
      <c r="E664" t="s">
        <v>77</v>
      </c>
      <c r="F664" t="s">
        <v>64</v>
      </c>
      <c r="G664">
        <v>20</v>
      </c>
      <c r="H664">
        <v>196</v>
      </c>
      <c r="I664" s="1">
        <f t="shared" si="10"/>
        <v>0.102040816326531</v>
      </c>
      <c r="J664" t="s">
        <v>125</v>
      </c>
      <c r="K664" t="s">
        <v>126</v>
      </c>
      <c r="L664" t="s">
        <v>124</v>
      </c>
      <c r="M664" t="s">
        <v>75</v>
      </c>
      <c r="N664" t="s">
        <v>50</v>
      </c>
    </row>
    <row r="665" spans="1:14">
      <c r="A665">
        <v>31595535</v>
      </c>
      <c r="B665" t="s">
        <v>596</v>
      </c>
      <c r="C665">
        <v>2019</v>
      </c>
      <c r="D665" t="s">
        <v>195</v>
      </c>
      <c r="E665" t="s">
        <v>77</v>
      </c>
      <c r="F665" t="s">
        <v>17</v>
      </c>
      <c r="G665">
        <v>15</v>
      </c>
      <c r="H665">
        <v>59</v>
      </c>
      <c r="I665" s="1">
        <f t="shared" si="10"/>
        <v>0.254237288135593</v>
      </c>
      <c r="J665" t="s">
        <v>85</v>
      </c>
      <c r="K665" t="s">
        <v>86</v>
      </c>
      <c r="L665" t="s">
        <v>195</v>
      </c>
      <c r="M665" t="s">
        <v>68</v>
      </c>
      <c r="N665" t="s">
        <v>30</v>
      </c>
    </row>
    <row r="666" spans="1:14">
      <c r="A666">
        <v>31742508</v>
      </c>
      <c r="B666" t="s">
        <v>597</v>
      </c>
      <c r="C666">
        <v>2019</v>
      </c>
      <c r="D666" t="s">
        <v>479</v>
      </c>
      <c r="E666" t="s">
        <v>167</v>
      </c>
      <c r="F666" t="s">
        <v>64</v>
      </c>
      <c r="G666">
        <v>5</v>
      </c>
      <c r="H666">
        <v>46</v>
      </c>
      <c r="I666" s="1">
        <f t="shared" si="10"/>
        <v>0.108695652173913</v>
      </c>
      <c r="J666" t="s">
        <v>598</v>
      </c>
      <c r="K666" t="s">
        <v>279</v>
      </c>
      <c r="L666" t="s">
        <v>479</v>
      </c>
      <c r="M666" t="s">
        <v>366</v>
      </c>
      <c r="N666" t="s">
        <v>50</v>
      </c>
    </row>
    <row r="667" spans="1:14">
      <c r="A667">
        <v>31742508</v>
      </c>
      <c r="B667" t="s">
        <v>597</v>
      </c>
      <c r="C667">
        <v>2019</v>
      </c>
      <c r="D667" t="s">
        <v>277</v>
      </c>
      <c r="E667" t="s">
        <v>167</v>
      </c>
      <c r="F667" t="s">
        <v>64</v>
      </c>
      <c r="G667">
        <v>10</v>
      </c>
      <c r="H667">
        <v>46</v>
      </c>
      <c r="I667" s="1">
        <f t="shared" si="10"/>
        <v>0.217391304347826</v>
      </c>
      <c r="J667" t="s">
        <v>598</v>
      </c>
      <c r="K667" t="s">
        <v>279</v>
      </c>
      <c r="L667" t="s">
        <v>277</v>
      </c>
      <c r="M667" t="s">
        <v>366</v>
      </c>
      <c r="N667" t="s">
        <v>50</v>
      </c>
    </row>
    <row r="668" spans="1:14">
      <c r="A668">
        <v>31742508</v>
      </c>
      <c r="B668" t="s">
        <v>597</v>
      </c>
      <c r="C668">
        <v>2019</v>
      </c>
      <c r="D668" t="s">
        <v>599</v>
      </c>
      <c r="E668" t="s">
        <v>167</v>
      </c>
      <c r="F668" t="s">
        <v>64</v>
      </c>
      <c r="G668">
        <v>7</v>
      </c>
      <c r="H668">
        <v>46</v>
      </c>
      <c r="I668" s="1">
        <f t="shared" si="10"/>
        <v>0.152173913043478</v>
      </c>
      <c r="J668" t="s">
        <v>598</v>
      </c>
      <c r="K668" t="s">
        <v>279</v>
      </c>
      <c r="L668" t="s">
        <v>599</v>
      </c>
      <c r="M668" t="s">
        <v>366</v>
      </c>
      <c r="N668" t="s">
        <v>50</v>
      </c>
    </row>
    <row r="669" spans="1:14">
      <c r="A669">
        <v>31835549</v>
      </c>
      <c r="B669" t="s">
        <v>600</v>
      </c>
      <c r="C669">
        <v>2019</v>
      </c>
      <c r="D669" t="s">
        <v>181</v>
      </c>
      <c r="E669" t="s">
        <v>77</v>
      </c>
      <c r="F669" t="s">
        <v>28</v>
      </c>
      <c r="G669">
        <v>0</v>
      </c>
      <c r="H669">
        <v>430</v>
      </c>
      <c r="I669" s="1">
        <f t="shared" si="10"/>
        <v>0</v>
      </c>
      <c r="J669" t="s">
        <v>35</v>
      </c>
      <c r="K669" t="s">
        <v>107</v>
      </c>
      <c r="L669" t="s">
        <v>181</v>
      </c>
      <c r="M669" t="s">
        <v>75</v>
      </c>
      <c r="N669" t="s">
        <v>50</v>
      </c>
    </row>
    <row r="670" spans="1:14">
      <c r="A670">
        <v>31835549</v>
      </c>
      <c r="B670" t="s">
        <v>600</v>
      </c>
      <c r="C670">
        <v>2019</v>
      </c>
      <c r="D670" t="s">
        <v>195</v>
      </c>
      <c r="E670" t="s">
        <v>77</v>
      </c>
      <c r="F670" t="s">
        <v>28</v>
      </c>
      <c r="G670">
        <v>0</v>
      </c>
      <c r="H670">
        <v>430</v>
      </c>
      <c r="I670" s="1">
        <f t="shared" si="10"/>
        <v>0</v>
      </c>
      <c r="J670" t="s">
        <v>85</v>
      </c>
      <c r="K670" t="s">
        <v>86</v>
      </c>
      <c r="L670" t="s">
        <v>195</v>
      </c>
      <c r="M670" t="s">
        <v>75</v>
      </c>
      <c r="N670" t="s">
        <v>50</v>
      </c>
    </row>
    <row r="671" spans="1:14">
      <c r="A671">
        <v>31835549</v>
      </c>
      <c r="B671" t="s">
        <v>600</v>
      </c>
      <c r="C671">
        <v>2019</v>
      </c>
      <c r="D671" t="s">
        <v>83</v>
      </c>
      <c r="E671" t="s">
        <v>77</v>
      </c>
      <c r="F671" t="s">
        <v>28</v>
      </c>
      <c r="G671">
        <v>0</v>
      </c>
      <c r="H671">
        <v>430</v>
      </c>
      <c r="I671" s="1">
        <f t="shared" si="10"/>
        <v>0</v>
      </c>
      <c r="J671" t="s">
        <v>55</v>
      </c>
      <c r="K671" t="s">
        <v>56</v>
      </c>
      <c r="L671" t="s">
        <v>83</v>
      </c>
      <c r="M671" t="s">
        <v>75</v>
      </c>
      <c r="N671" t="s">
        <v>50</v>
      </c>
    </row>
    <row r="672" spans="1:14">
      <c r="A672">
        <v>31835549</v>
      </c>
      <c r="B672" t="s">
        <v>600</v>
      </c>
      <c r="C672">
        <v>2019</v>
      </c>
      <c r="D672" t="s">
        <v>15</v>
      </c>
      <c r="E672" t="s">
        <v>77</v>
      </c>
      <c r="F672" t="s">
        <v>28</v>
      </c>
      <c r="G672">
        <v>1</v>
      </c>
      <c r="H672">
        <v>430</v>
      </c>
      <c r="I672" s="1">
        <f t="shared" si="10"/>
        <v>0.00232558139534884</v>
      </c>
      <c r="J672" t="s">
        <v>18</v>
      </c>
      <c r="K672" t="s">
        <v>19</v>
      </c>
      <c r="L672" t="s">
        <v>15</v>
      </c>
      <c r="M672" t="s">
        <v>75</v>
      </c>
      <c r="N672" t="s">
        <v>50</v>
      </c>
    </row>
    <row r="673" spans="1:14">
      <c r="A673">
        <v>31835549</v>
      </c>
      <c r="B673" t="s">
        <v>600</v>
      </c>
      <c r="C673">
        <v>2019</v>
      </c>
      <c r="D673" t="s">
        <v>531</v>
      </c>
      <c r="E673" t="s">
        <v>77</v>
      </c>
      <c r="F673" t="s">
        <v>64</v>
      </c>
      <c r="G673">
        <v>3</v>
      </c>
      <c r="H673">
        <v>430</v>
      </c>
      <c r="I673" s="1">
        <f t="shared" si="10"/>
        <v>0.00697674418604651</v>
      </c>
      <c r="J673" t="s">
        <v>55</v>
      </c>
      <c r="K673" t="s">
        <v>56</v>
      </c>
      <c r="L673" t="s">
        <v>531</v>
      </c>
      <c r="M673" t="s">
        <v>75</v>
      </c>
      <c r="N673" t="s">
        <v>50</v>
      </c>
    </row>
    <row r="674" spans="1:14">
      <c r="A674">
        <v>31835549</v>
      </c>
      <c r="B674" t="s">
        <v>600</v>
      </c>
      <c r="C674">
        <v>2019</v>
      </c>
      <c r="D674" t="s">
        <v>163</v>
      </c>
      <c r="E674" t="s">
        <v>77</v>
      </c>
      <c r="F674" t="s">
        <v>28</v>
      </c>
      <c r="G674">
        <v>0</v>
      </c>
      <c r="H674">
        <v>430</v>
      </c>
      <c r="I674" s="1">
        <f t="shared" si="10"/>
        <v>0</v>
      </c>
      <c r="J674" t="s">
        <v>35</v>
      </c>
      <c r="K674" t="s">
        <v>107</v>
      </c>
      <c r="L674" t="s">
        <v>163</v>
      </c>
      <c r="M674" t="s">
        <v>75</v>
      </c>
      <c r="N674" t="s">
        <v>50</v>
      </c>
    </row>
    <row r="675" spans="1:14">
      <c r="A675">
        <v>31864363</v>
      </c>
      <c r="B675" t="s">
        <v>601</v>
      </c>
      <c r="C675">
        <v>2019</v>
      </c>
      <c r="D675" t="s">
        <v>45</v>
      </c>
      <c r="E675" t="s">
        <v>77</v>
      </c>
      <c r="F675" t="s">
        <v>64</v>
      </c>
      <c r="G675">
        <v>132</v>
      </c>
      <c r="H675">
        <v>312</v>
      </c>
      <c r="I675" s="1">
        <f t="shared" si="10"/>
        <v>0.423076923076923</v>
      </c>
      <c r="J675" t="s">
        <v>23</v>
      </c>
      <c r="K675" t="s">
        <v>46</v>
      </c>
      <c r="L675" t="s">
        <v>45</v>
      </c>
      <c r="M675" t="s">
        <v>268</v>
      </c>
      <c r="N675" t="s">
        <v>50</v>
      </c>
    </row>
    <row r="676" spans="1:14">
      <c r="A676">
        <v>31896501</v>
      </c>
      <c r="B676" t="s">
        <v>602</v>
      </c>
      <c r="C676">
        <v>2020</v>
      </c>
      <c r="D676" t="s">
        <v>83</v>
      </c>
      <c r="E676" t="s">
        <v>77</v>
      </c>
      <c r="F676" t="s">
        <v>64</v>
      </c>
      <c r="G676">
        <v>241</v>
      </c>
      <c r="H676">
        <v>905</v>
      </c>
      <c r="I676" s="1">
        <f t="shared" si="10"/>
        <v>0.266298342541436</v>
      </c>
      <c r="J676" t="s">
        <v>55</v>
      </c>
      <c r="K676" t="s">
        <v>56</v>
      </c>
      <c r="L676" t="s">
        <v>83</v>
      </c>
      <c r="M676" t="s">
        <v>68</v>
      </c>
      <c r="N676" t="s">
        <v>30</v>
      </c>
    </row>
    <row r="677" spans="1:14">
      <c r="A677">
        <v>31902495</v>
      </c>
      <c r="B677" t="s">
        <v>603</v>
      </c>
      <c r="C677">
        <v>2020</v>
      </c>
      <c r="D677" t="s">
        <v>124</v>
      </c>
      <c r="E677" t="s">
        <v>77</v>
      </c>
      <c r="F677" t="s">
        <v>28</v>
      </c>
      <c r="G677">
        <v>1041</v>
      </c>
      <c r="H677">
        <v>2736</v>
      </c>
      <c r="I677" s="1">
        <f t="shared" si="10"/>
        <v>0.380482456140351</v>
      </c>
      <c r="J677" t="s">
        <v>125</v>
      </c>
      <c r="K677" t="s">
        <v>126</v>
      </c>
      <c r="L677" t="s">
        <v>124</v>
      </c>
      <c r="M677" t="s">
        <v>151</v>
      </c>
      <c r="N677" t="s">
        <v>30</v>
      </c>
    </row>
    <row r="678" spans="1:14">
      <c r="A678">
        <v>31934655</v>
      </c>
      <c r="B678" t="s">
        <v>604</v>
      </c>
      <c r="C678">
        <v>2019</v>
      </c>
      <c r="D678" t="s">
        <v>45</v>
      </c>
      <c r="E678" t="s">
        <v>51</v>
      </c>
      <c r="F678" t="s">
        <v>64</v>
      </c>
      <c r="G678">
        <v>21</v>
      </c>
      <c r="H678">
        <v>21</v>
      </c>
      <c r="I678" s="1">
        <f t="shared" si="10"/>
        <v>1</v>
      </c>
      <c r="J678" t="s">
        <v>23</v>
      </c>
      <c r="K678" t="s">
        <v>46</v>
      </c>
      <c r="L678" t="s">
        <v>45</v>
      </c>
      <c r="M678" t="s">
        <v>318</v>
      </c>
      <c r="N678" t="s">
        <v>50</v>
      </c>
    </row>
    <row r="679" spans="1:14">
      <c r="A679">
        <v>32011204</v>
      </c>
      <c r="B679" t="s">
        <v>605</v>
      </c>
      <c r="C679">
        <v>2020</v>
      </c>
      <c r="D679" t="s">
        <v>63</v>
      </c>
      <c r="E679" t="s">
        <v>51</v>
      </c>
      <c r="F679" t="s">
        <v>54</v>
      </c>
      <c r="G679">
        <v>11</v>
      </c>
      <c r="H679">
        <v>314</v>
      </c>
      <c r="I679" s="1">
        <f t="shared" si="10"/>
        <v>0.035031847133758</v>
      </c>
      <c r="J679" t="s">
        <v>60</v>
      </c>
      <c r="K679" t="s">
        <v>61</v>
      </c>
      <c r="L679" t="s">
        <v>63</v>
      </c>
      <c r="M679" t="s">
        <v>78</v>
      </c>
      <c r="N679" t="s">
        <v>50</v>
      </c>
    </row>
    <row r="680" spans="1:14">
      <c r="A680">
        <v>32011204</v>
      </c>
      <c r="B680" t="s">
        <v>605</v>
      </c>
      <c r="C680">
        <v>2020</v>
      </c>
      <c r="D680" t="s">
        <v>59</v>
      </c>
      <c r="E680" t="s">
        <v>51</v>
      </c>
      <c r="F680" t="s">
        <v>54</v>
      </c>
      <c r="G680">
        <v>10</v>
      </c>
      <c r="H680">
        <v>314</v>
      </c>
      <c r="I680" s="1">
        <f t="shared" si="10"/>
        <v>0.0318471337579618</v>
      </c>
      <c r="J680" t="s">
        <v>60</v>
      </c>
      <c r="K680" t="s">
        <v>61</v>
      </c>
      <c r="L680" t="s">
        <v>59</v>
      </c>
      <c r="M680" t="s">
        <v>78</v>
      </c>
      <c r="N680" t="s">
        <v>50</v>
      </c>
    </row>
    <row r="681" spans="1:14">
      <c r="A681">
        <v>32011204</v>
      </c>
      <c r="B681" t="s">
        <v>605</v>
      </c>
      <c r="C681">
        <v>2020</v>
      </c>
      <c r="D681" t="s">
        <v>606</v>
      </c>
      <c r="E681" t="s">
        <v>51</v>
      </c>
      <c r="F681" t="s">
        <v>54</v>
      </c>
      <c r="G681">
        <v>7</v>
      </c>
      <c r="H681">
        <v>314</v>
      </c>
      <c r="I681" s="1">
        <f t="shared" si="10"/>
        <v>0.0222929936305732</v>
      </c>
      <c r="J681" t="s">
        <v>60</v>
      </c>
      <c r="K681" t="s">
        <v>607</v>
      </c>
      <c r="L681" t="s">
        <v>606</v>
      </c>
      <c r="M681" t="s">
        <v>78</v>
      </c>
      <c r="N681" t="s">
        <v>50</v>
      </c>
    </row>
    <row r="682" spans="1:14">
      <c r="A682">
        <v>32013767</v>
      </c>
      <c r="B682" t="s">
        <v>608</v>
      </c>
      <c r="C682">
        <v>2020</v>
      </c>
      <c r="D682" t="s">
        <v>166</v>
      </c>
      <c r="E682" t="s">
        <v>167</v>
      </c>
      <c r="F682" t="s">
        <v>64</v>
      </c>
      <c r="G682">
        <v>0</v>
      </c>
      <c r="H682">
        <v>530</v>
      </c>
      <c r="I682" s="1">
        <f t="shared" si="10"/>
        <v>0</v>
      </c>
      <c r="J682" t="s">
        <v>168</v>
      </c>
      <c r="K682" t="s">
        <v>121</v>
      </c>
      <c r="L682" t="s">
        <v>166</v>
      </c>
      <c r="M682" t="s">
        <v>366</v>
      </c>
      <c r="N682" t="s">
        <v>50</v>
      </c>
    </row>
    <row r="683" spans="1:14">
      <c r="A683">
        <v>32062189</v>
      </c>
      <c r="B683" t="s">
        <v>609</v>
      </c>
      <c r="C683">
        <v>2020</v>
      </c>
      <c r="D683" t="s">
        <v>115</v>
      </c>
      <c r="E683" t="s">
        <v>51</v>
      </c>
      <c r="F683" t="s">
        <v>64</v>
      </c>
      <c r="G683">
        <v>10</v>
      </c>
      <c r="H683">
        <v>12</v>
      </c>
      <c r="I683" s="1">
        <f t="shared" si="10"/>
        <v>0.833333333333333</v>
      </c>
      <c r="J683" t="s">
        <v>38</v>
      </c>
      <c r="K683" t="s">
        <v>39</v>
      </c>
      <c r="L683" t="s">
        <v>115</v>
      </c>
      <c r="M683" t="s">
        <v>78</v>
      </c>
      <c r="N683" t="s">
        <v>50</v>
      </c>
    </row>
    <row r="684" spans="1:14">
      <c r="A684">
        <v>32062189</v>
      </c>
      <c r="B684" t="s">
        <v>609</v>
      </c>
      <c r="C684">
        <v>2020</v>
      </c>
      <c r="D684" t="s">
        <v>22</v>
      </c>
      <c r="E684" t="s">
        <v>51</v>
      </c>
      <c r="F684" t="s">
        <v>64</v>
      </c>
      <c r="G684">
        <v>1</v>
      </c>
      <c r="H684">
        <v>12</v>
      </c>
      <c r="I684" s="1">
        <f t="shared" si="10"/>
        <v>0.0833333333333333</v>
      </c>
      <c r="J684" t="s">
        <v>23</v>
      </c>
      <c r="K684" t="s">
        <v>24</v>
      </c>
      <c r="L684" t="s">
        <v>22</v>
      </c>
      <c r="M684" t="s">
        <v>78</v>
      </c>
      <c r="N684" t="s">
        <v>50</v>
      </c>
    </row>
    <row r="685" spans="1:14">
      <c r="A685">
        <v>32062189</v>
      </c>
      <c r="B685" t="s">
        <v>609</v>
      </c>
      <c r="C685">
        <v>2020</v>
      </c>
      <c r="D685" t="s">
        <v>112</v>
      </c>
      <c r="E685" t="s">
        <v>51</v>
      </c>
      <c r="F685" t="s">
        <v>64</v>
      </c>
      <c r="G685">
        <v>4</v>
      </c>
      <c r="H685">
        <v>12</v>
      </c>
      <c r="I685" s="1">
        <f t="shared" si="10"/>
        <v>0.333333333333333</v>
      </c>
      <c r="J685" t="s">
        <v>80</v>
      </c>
      <c r="K685" t="s">
        <v>113</v>
      </c>
      <c r="L685" t="s">
        <v>112</v>
      </c>
      <c r="M685" t="s">
        <v>78</v>
      </c>
      <c r="N685" t="s">
        <v>50</v>
      </c>
    </row>
    <row r="686" spans="1:14">
      <c r="A686">
        <v>32082295</v>
      </c>
      <c r="B686" t="s">
        <v>610</v>
      </c>
      <c r="C686">
        <v>2020</v>
      </c>
      <c r="D686" t="s">
        <v>124</v>
      </c>
      <c r="E686" t="s">
        <v>51</v>
      </c>
      <c r="F686" t="s">
        <v>28</v>
      </c>
      <c r="G686">
        <v>689</v>
      </c>
      <c r="H686">
        <v>880</v>
      </c>
      <c r="I686" s="1">
        <f t="shared" si="10"/>
        <v>0.782954545454545</v>
      </c>
      <c r="J686" t="s">
        <v>125</v>
      </c>
      <c r="K686" t="s">
        <v>126</v>
      </c>
      <c r="L686" t="s">
        <v>124</v>
      </c>
      <c r="M686" t="s">
        <v>49</v>
      </c>
      <c r="N686" t="s">
        <v>50</v>
      </c>
    </row>
    <row r="687" spans="1:14">
      <c r="A687">
        <v>32121543</v>
      </c>
      <c r="B687" t="s">
        <v>561</v>
      </c>
      <c r="C687">
        <v>2020</v>
      </c>
      <c r="D687" t="s">
        <v>195</v>
      </c>
      <c r="E687" t="s">
        <v>131</v>
      </c>
      <c r="F687" t="s">
        <v>64</v>
      </c>
      <c r="G687">
        <v>0</v>
      </c>
      <c r="H687">
        <v>24</v>
      </c>
      <c r="I687" s="1">
        <f t="shared" si="10"/>
        <v>0</v>
      </c>
      <c r="J687" t="s">
        <v>611</v>
      </c>
      <c r="K687" t="s">
        <v>86</v>
      </c>
      <c r="L687" t="s">
        <v>195</v>
      </c>
      <c r="M687" t="s">
        <v>612</v>
      </c>
      <c r="N687" t="s">
        <v>50</v>
      </c>
    </row>
    <row r="688" spans="1:14">
      <c r="A688">
        <v>32121543</v>
      </c>
      <c r="B688" t="s">
        <v>561</v>
      </c>
      <c r="C688">
        <v>2020</v>
      </c>
      <c r="D688" t="s">
        <v>15</v>
      </c>
      <c r="E688" t="s">
        <v>131</v>
      </c>
      <c r="F688" t="s">
        <v>64</v>
      </c>
      <c r="G688">
        <v>0</v>
      </c>
      <c r="H688">
        <v>24</v>
      </c>
      <c r="I688" s="1">
        <f t="shared" si="10"/>
        <v>0</v>
      </c>
      <c r="J688" t="s">
        <v>559</v>
      </c>
      <c r="K688" t="s">
        <v>19</v>
      </c>
      <c r="L688" t="s">
        <v>15</v>
      </c>
      <c r="M688" t="s">
        <v>612</v>
      </c>
      <c r="N688" t="s">
        <v>50</v>
      </c>
    </row>
    <row r="689" spans="1:14">
      <c r="A689">
        <v>32121543</v>
      </c>
      <c r="B689" t="s">
        <v>561</v>
      </c>
      <c r="C689">
        <v>2020</v>
      </c>
      <c r="D689" t="s">
        <v>22</v>
      </c>
      <c r="E689" t="s">
        <v>131</v>
      </c>
      <c r="F689" t="s">
        <v>64</v>
      </c>
      <c r="G689">
        <v>0</v>
      </c>
      <c r="H689">
        <v>24</v>
      </c>
      <c r="I689" s="1">
        <f t="shared" si="10"/>
        <v>0</v>
      </c>
      <c r="J689" t="s">
        <v>245</v>
      </c>
      <c r="K689" t="s">
        <v>24</v>
      </c>
      <c r="L689" t="s">
        <v>22</v>
      </c>
      <c r="M689" t="s">
        <v>612</v>
      </c>
      <c r="N689" t="s">
        <v>50</v>
      </c>
    </row>
    <row r="690" spans="1:14">
      <c r="A690">
        <v>32121543</v>
      </c>
      <c r="B690" t="s">
        <v>561</v>
      </c>
      <c r="C690">
        <v>2020</v>
      </c>
      <c r="D690" t="s">
        <v>613</v>
      </c>
      <c r="E690" t="s">
        <v>131</v>
      </c>
      <c r="F690" t="s">
        <v>64</v>
      </c>
      <c r="G690">
        <v>0</v>
      </c>
      <c r="H690">
        <v>24</v>
      </c>
      <c r="I690" s="1">
        <f t="shared" si="10"/>
        <v>0</v>
      </c>
      <c r="J690" t="s">
        <v>436</v>
      </c>
      <c r="K690" t="s">
        <v>56</v>
      </c>
      <c r="L690" t="s">
        <v>172</v>
      </c>
      <c r="M690" t="s">
        <v>612</v>
      </c>
      <c r="N690" t="s">
        <v>50</v>
      </c>
    </row>
    <row r="691" spans="1:14">
      <c r="A691">
        <v>32121543</v>
      </c>
      <c r="B691" t="s">
        <v>561</v>
      </c>
      <c r="C691">
        <v>2020</v>
      </c>
      <c r="D691" t="s">
        <v>614</v>
      </c>
      <c r="E691" t="s">
        <v>131</v>
      </c>
      <c r="F691" t="s">
        <v>64</v>
      </c>
      <c r="G691">
        <v>0</v>
      </c>
      <c r="H691">
        <v>24</v>
      </c>
      <c r="I691" s="1">
        <f t="shared" si="10"/>
        <v>0</v>
      </c>
      <c r="J691" t="s">
        <v>611</v>
      </c>
      <c r="K691" t="s">
        <v>86</v>
      </c>
      <c r="L691" t="s">
        <v>614</v>
      </c>
      <c r="M691" t="s">
        <v>612</v>
      </c>
      <c r="N691" t="s">
        <v>50</v>
      </c>
    </row>
    <row r="692" spans="1:14">
      <c r="A692">
        <v>32121543</v>
      </c>
      <c r="B692" t="s">
        <v>561</v>
      </c>
      <c r="C692">
        <v>2020</v>
      </c>
      <c r="D692" t="s">
        <v>364</v>
      </c>
      <c r="E692" t="s">
        <v>131</v>
      </c>
      <c r="F692" t="s">
        <v>64</v>
      </c>
      <c r="G692">
        <v>14</v>
      </c>
      <c r="H692">
        <v>24</v>
      </c>
      <c r="I692" s="1">
        <f t="shared" si="10"/>
        <v>0.583333333333333</v>
      </c>
      <c r="J692" t="s">
        <v>365</v>
      </c>
      <c r="K692" t="s">
        <v>113</v>
      </c>
      <c r="L692" t="s">
        <v>364</v>
      </c>
      <c r="M692" t="s">
        <v>612</v>
      </c>
      <c r="N692" t="s">
        <v>50</v>
      </c>
    </row>
    <row r="693" spans="1:14">
      <c r="A693">
        <v>32183615</v>
      </c>
      <c r="B693" t="s">
        <v>615</v>
      </c>
      <c r="C693">
        <v>2020</v>
      </c>
      <c r="D693" t="s">
        <v>249</v>
      </c>
      <c r="E693" t="s">
        <v>77</v>
      </c>
      <c r="F693" t="s">
        <v>64</v>
      </c>
      <c r="G693">
        <v>1</v>
      </c>
      <c r="H693">
        <v>1</v>
      </c>
      <c r="I693" s="1">
        <f t="shared" si="10"/>
        <v>1</v>
      </c>
      <c r="J693" t="s">
        <v>250</v>
      </c>
      <c r="K693" t="s">
        <v>251</v>
      </c>
      <c r="L693" t="s">
        <v>249</v>
      </c>
      <c r="M693" t="s">
        <v>151</v>
      </c>
      <c r="N693" t="s">
        <v>30</v>
      </c>
    </row>
    <row r="694" spans="1:14">
      <c r="A694">
        <v>32210090</v>
      </c>
      <c r="B694" t="s">
        <v>616</v>
      </c>
      <c r="C694">
        <v>2020</v>
      </c>
      <c r="D694" t="s">
        <v>124</v>
      </c>
      <c r="E694" t="s">
        <v>77</v>
      </c>
      <c r="F694" t="s">
        <v>28</v>
      </c>
      <c r="G694">
        <v>22</v>
      </c>
      <c r="H694">
        <v>35</v>
      </c>
      <c r="I694" s="1">
        <f t="shared" si="10"/>
        <v>0.628571428571429</v>
      </c>
      <c r="J694" t="s">
        <v>125</v>
      </c>
      <c r="K694" t="s">
        <v>126</v>
      </c>
      <c r="L694" t="s">
        <v>124</v>
      </c>
      <c r="M694" t="s">
        <v>78</v>
      </c>
      <c r="N694" t="s">
        <v>50</v>
      </c>
    </row>
    <row r="695" spans="1:14">
      <c r="A695">
        <v>32214940</v>
      </c>
      <c r="B695" t="s">
        <v>617</v>
      </c>
      <c r="C695">
        <v>2013</v>
      </c>
      <c r="D695" t="s">
        <v>124</v>
      </c>
      <c r="E695" t="s">
        <v>77</v>
      </c>
      <c r="F695" t="s">
        <v>28</v>
      </c>
      <c r="G695">
        <v>0</v>
      </c>
      <c r="H695">
        <v>93</v>
      </c>
      <c r="I695" s="1">
        <f t="shared" si="10"/>
        <v>0</v>
      </c>
      <c r="J695" t="s">
        <v>125</v>
      </c>
      <c r="K695" t="s">
        <v>126</v>
      </c>
      <c r="L695" t="s">
        <v>124</v>
      </c>
      <c r="M695" t="s">
        <v>618</v>
      </c>
      <c r="N695" t="s">
        <v>30</v>
      </c>
    </row>
    <row r="696" spans="1:14">
      <c r="A696">
        <v>32214940</v>
      </c>
      <c r="B696" t="s">
        <v>617</v>
      </c>
      <c r="C696">
        <v>2013</v>
      </c>
      <c r="D696" t="s">
        <v>112</v>
      </c>
      <c r="E696" t="s">
        <v>77</v>
      </c>
      <c r="F696" t="s">
        <v>28</v>
      </c>
      <c r="G696">
        <v>0</v>
      </c>
      <c r="H696">
        <v>93</v>
      </c>
      <c r="I696" s="1">
        <f t="shared" si="10"/>
        <v>0</v>
      </c>
      <c r="J696" t="s">
        <v>80</v>
      </c>
      <c r="K696" t="s">
        <v>113</v>
      </c>
      <c r="L696" t="s">
        <v>112</v>
      </c>
      <c r="M696" t="s">
        <v>618</v>
      </c>
      <c r="N696" t="s">
        <v>30</v>
      </c>
    </row>
    <row r="697" spans="1:14">
      <c r="A697">
        <v>32214940</v>
      </c>
      <c r="B697" t="s">
        <v>617</v>
      </c>
      <c r="C697">
        <v>2013</v>
      </c>
      <c r="D697" t="s">
        <v>84</v>
      </c>
      <c r="E697" t="s">
        <v>77</v>
      </c>
      <c r="F697" t="s">
        <v>28</v>
      </c>
      <c r="G697">
        <v>0</v>
      </c>
      <c r="H697">
        <v>93</v>
      </c>
      <c r="I697" s="1">
        <f t="shared" si="10"/>
        <v>0</v>
      </c>
      <c r="J697" t="s">
        <v>85</v>
      </c>
      <c r="K697" t="s">
        <v>86</v>
      </c>
      <c r="L697" t="s">
        <v>84</v>
      </c>
      <c r="M697" t="s">
        <v>618</v>
      </c>
      <c r="N697" t="s">
        <v>30</v>
      </c>
    </row>
    <row r="698" spans="1:14">
      <c r="A698">
        <v>32214940</v>
      </c>
      <c r="B698" t="s">
        <v>617</v>
      </c>
      <c r="C698">
        <v>2013</v>
      </c>
      <c r="D698" t="s">
        <v>79</v>
      </c>
      <c r="E698" t="s">
        <v>77</v>
      </c>
      <c r="F698" t="s">
        <v>28</v>
      </c>
      <c r="G698">
        <v>2</v>
      </c>
      <c r="H698">
        <v>93</v>
      </c>
      <c r="I698" s="1">
        <f t="shared" si="10"/>
        <v>0.021505376344086</v>
      </c>
      <c r="J698" t="s">
        <v>80</v>
      </c>
      <c r="K698" t="s">
        <v>81</v>
      </c>
      <c r="L698" t="s">
        <v>79</v>
      </c>
      <c r="M698" t="s">
        <v>618</v>
      </c>
      <c r="N698" t="s">
        <v>30</v>
      </c>
    </row>
    <row r="699" spans="1:14">
      <c r="A699">
        <v>32214940</v>
      </c>
      <c r="B699" t="s">
        <v>617</v>
      </c>
      <c r="C699">
        <v>2013</v>
      </c>
      <c r="D699" t="s">
        <v>82</v>
      </c>
      <c r="E699" t="s">
        <v>77</v>
      </c>
      <c r="F699" t="s">
        <v>28</v>
      </c>
      <c r="G699">
        <v>4</v>
      </c>
      <c r="H699">
        <v>93</v>
      </c>
      <c r="I699" s="1">
        <f t="shared" si="10"/>
        <v>0.043010752688172</v>
      </c>
      <c r="J699" t="s">
        <v>38</v>
      </c>
      <c r="K699" t="s">
        <v>39</v>
      </c>
      <c r="L699" t="s">
        <v>82</v>
      </c>
      <c r="M699" t="s">
        <v>618</v>
      </c>
      <c r="N699" t="s">
        <v>30</v>
      </c>
    </row>
    <row r="700" spans="1:14">
      <c r="A700">
        <v>32214940</v>
      </c>
      <c r="B700" t="s">
        <v>617</v>
      </c>
      <c r="C700">
        <v>2013</v>
      </c>
      <c r="D700" t="s">
        <v>83</v>
      </c>
      <c r="E700" t="s">
        <v>77</v>
      </c>
      <c r="F700" t="s">
        <v>28</v>
      </c>
      <c r="G700">
        <v>0</v>
      </c>
      <c r="H700">
        <v>93</v>
      </c>
      <c r="I700" s="1">
        <f t="shared" si="10"/>
        <v>0</v>
      </c>
      <c r="J700" t="s">
        <v>55</v>
      </c>
      <c r="K700" t="s">
        <v>56</v>
      </c>
      <c r="L700" t="s">
        <v>83</v>
      </c>
      <c r="M700" t="s">
        <v>618</v>
      </c>
      <c r="N700" t="s">
        <v>30</v>
      </c>
    </row>
    <row r="701" spans="1:14">
      <c r="A701">
        <v>32214940</v>
      </c>
      <c r="B701" t="s">
        <v>617</v>
      </c>
      <c r="C701">
        <v>2013</v>
      </c>
      <c r="D701" t="s">
        <v>249</v>
      </c>
      <c r="E701" t="s">
        <v>77</v>
      </c>
      <c r="F701" t="s">
        <v>28</v>
      </c>
      <c r="G701">
        <v>0</v>
      </c>
      <c r="H701">
        <v>93</v>
      </c>
      <c r="I701" s="1">
        <f t="shared" si="10"/>
        <v>0</v>
      </c>
      <c r="J701" t="s">
        <v>250</v>
      </c>
      <c r="K701" t="s">
        <v>251</v>
      </c>
      <c r="L701" t="s">
        <v>249</v>
      </c>
      <c r="M701" t="s">
        <v>618</v>
      </c>
      <c r="N701" t="s">
        <v>30</v>
      </c>
    </row>
    <row r="702" spans="1:14">
      <c r="A702">
        <v>32214940</v>
      </c>
      <c r="B702" t="s">
        <v>617</v>
      </c>
      <c r="C702">
        <v>2013</v>
      </c>
      <c r="D702" t="s">
        <v>15</v>
      </c>
      <c r="E702" t="s">
        <v>77</v>
      </c>
      <c r="F702" t="s">
        <v>28</v>
      </c>
      <c r="G702">
        <v>22</v>
      </c>
      <c r="H702">
        <v>93</v>
      </c>
      <c r="I702" s="1">
        <f t="shared" si="10"/>
        <v>0.236559139784946</v>
      </c>
      <c r="J702" t="s">
        <v>18</v>
      </c>
      <c r="K702" t="s">
        <v>19</v>
      </c>
      <c r="L702" t="s">
        <v>15</v>
      </c>
      <c r="M702" t="s">
        <v>618</v>
      </c>
      <c r="N702" t="s">
        <v>30</v>
      </c>
    </row>
    <row r="703" spans="1:14">
      <c r="A703">
        <v>32214940</v>
      </c>
      <c r="B703" t="s">
        <v>617</v>
      </c>
      <c r="C703">
        <v>2013</v>
      </c>
      <c r="D703" t="s">
        <v>479</v>
      </c>
      <c r="E703" t="s">
        <v>77</v>
      </c>
      <c r="F703" t="s">
        <v>28</v>
      </c>
      <c r="G703">
        <v>65</v>
      </c>
      <c r="H703">
        <v>93</v>
      </c>
      <c r="I703" s="1">
        <f t="shared" si="10"/>
        <v>0.698924731182796</v>
      </c>
      <c r="J703" t="s">
        <v>278</v>
      </c>
      <c r="K703" t="s">
        <v>279</v>
      </c>
      <c r="L703" t="s">
        <v>479</v>
      </c>
      <c r="M703" t="s">
        <v>618</v>
      </c>
      <c r="N703" t="s">
        <v>30</v>
      </c>
    </row>
    <row r="704" spans="1:14">
      <c r="A704">
        <v>32214940</v>
      </c>
      <c r="B704" t="s">
        <v>617</v>
      </c>
      <c r="C704">
        <v>2013</v>
      </c>
      <c r="D704" t="s">
        <v>163</v>
      </c>
      <c r="E704" t="s">
        <v>77</v>
      </c>
      <c r="F704" t="s">
        <v>28</v>
      </c>
      <c r="G704">
        <v>0</v>
      </c>
      <c r="H704">
        <v>93</v>
      </c>
      <c r="I704" s="1">
        <f t="shared" si="10"/>
        <v>0</v>
      </c>
      <c r="J704" t="s">
        <v>35</v>
      </c>
      <c r="K704" t="s">
        <v>107</v>
      </c>
      <c r="L704" t="s">
        <v>163</v>
      </c>
      <c r="M704" t="s">
        <v>618</v>
      </c>
      <c r="N704" t="s">
        <v>30</v>
      </c>
    </row>
    <row r="705" spans="1:14">
      <c r="A705">
        <v>32223069</v>
      </c>
      <c r="B705" t="s">
        <v>619</v>
      </c>
      <c r="C705">
        <v>2020</v>
      </c>
      <c r="D705" t="s">
        <v>477</v>
      </c>
      <c r="E705" t="s">
        <v>167</v>
      </c>
      <c r="F705" t="s">
        <v>64</v>
      </c>
      <c r="G705">
        <v>0</v>
      </c>
      <c r="H705">
        <v>1</v>
      </c>
      <c r="I705" s="1">
        <f t="shared" si="10"/>
        <v>0</v>
      </c>
      <c r="J705" t="s">
        <v>245</v>
      </c>
      <c r="K705" t="s">
        <v>72</v>
      </c>
      <c r="L705" t="s">
        <v>477</v>
      </c>
      <c r="M705" t="s">
        <v>366</v>
      </c>
      <c r="N705" t="s">
        <v>50</v>
      </c>
    </row>
    <row r="706" spans="1:14">
      <c r="A706">
        <v>32233130</v>
      </c>
      <c r="B706" t="s">
        <v>620</v>
      </c>
      <c r="C706">
        <v>2020</v>
      </c>
      <c r="D706" t="s">
        <v>45</v>
      </c>
      <c r="E706" t="s">
        <v>48</v>
      </c>
      <c r="F706" t="s">
        <v>64</v>
      </c>
      <c r="G706">
        <v>0</v>
      </c>
      <c r="H706">
        <v>40</v>
      </c>
      <c r="I706" s="1">
        <f t="shared" si="10"/>
        <v>0</v>
      </c>
      <c r="J706" t="s">
        <v>23</v>
      </c>
      <c r="K706" t="s">
        <v>46</v>
      </c>
      <c r="L706" t="s">
        <v>45</v>
      </c>
      <c r="M706" t="s">
        <v>151</v>
      </c>
      <c r="N706" t="s">
        <v>30</v>
      </c>
    </row>
    <row r="707" spans="1:14">
      <c r="A707">
        <v>32300568</v>
      </c>
      <c r="B707" t="s">
        <v>621</v>
      </c>
      <c r="C707">
        <v>2020</v>
      </c>
      <c r="D707" t="s">
        <v>124</v>
      </c>
      <c r="E707" t="s">
        <v>77</v>
      </c>
      <c r="F707" t="s">
        <v>64</v>
      </c>
      <c r="G707">
        <v>23</v>
      </c>
      <c r="H707">
        <v>97</v>
      </c>
      <c r="I707" s="1">
        <f t="shared" ref="I707:I770" si="11">G707/H707</f>
        <v>0.237113402061856</v>
      </c>
      <c r="J707" t="s">
        <v>125</v>
      </c>
      <c r="K707" t="s">
        <v>126</v>
      </c>
      <c r="L707" t="s">
        <v>124</v>
      </c>
      <c r="M707" t="s">
        <v>75</v>
      </c>
      <c r="N707" t="s">
        <v>50</v>
      </c>
    </row>
    <row r="708" spans="1:14">
      <c r="A708">
        <v>32314690</v>
      </c>
      <c r="B708" t="s">
        <v>622</v>
      </c>
      <c r="C708">
        <v>2020</v>
      </c>
      <c r="D708" t="s">
        <v>230</v>
      </c>
      <c r="E708" t="s">
        <v>167</v>
      </c>
      <c r="F708" t="s">
        <v>64</v>
      </c>
      <c r="G708">
        <v>3</v>
      </c>
      <c r="H708">
        <v>10</v>
      </c>
      <c r="I708" s="1">
        <f t="shared" si="11"/>
        <v>0.3</v>
      </c>
      <c r="J708" t="s">
        <v>231</v>
      </c>
      <c r="K708" t="s">
        <v>61</v>
      </c>
      <c r="L708" t="s">
        <v>230</v>
      </c>
      <c r="M708" t="s">
        <v>352</v>
      </c>
      <c r="N708" t="s">
        <v>50</v>
      </c>
    </row>
    <row r="709" spans="1:14">
      <c r="A709">
        <v>32314690</v>
      </c>
      <c r="B709" t="s">
        <v>622</v>
      </c>
      <c r="C709">
        <v>2020</v>
      </c>
      <c r="D709" t="s">
        <v>65</v>
      </c>
      <c r="E709" t="s">
        <v>167</v>
      </c>
      <c r="F709" t="s">
        <v>64</v>
      </c>
      <c r="G709">
        <v>0</v>
      </c>
      <c r="H709">
        <v>10</v>
      </c>
      <c r="I709" s="1">
        <f t="shared" si="11"/>
        <v>0</v>
      </c>
      <c r="J709" t="s">
        <v>231</v>
      </c>
      <c r="K709" t="s">
        <v>61</v>
      </c>
      <c r="L709" t="s">
        <v>65</v>
      </c>
      <c r="M709" t="s">
        <v>352</v>
      </c>
      <c r="N709" t="s">
        <v>50</v>
      </c>
    </row>
    <row r="710" spans="1:14">
      <c r="A710">
        <v>32320339</v>
      </c>
      <c r="B710" t="s">
        <v>623</v>
      </c>
      <c r="C710">
        <v>2020</v>
      </c>
      <c r="D710" t="s">
        <v>195</v>
      </c>
      <c r="E710" t="s">
        <v>51</v>
      </c>
      <c r="F710" t="s">
        <v>28</v>
      </c>
      <c r="G710">
        <v>0</v>
      </c>
      <c r="H710">
        <v>12</v>
      </c>
      <c r="I710" s="1">
        <f t="shared" si="11"/>
        <v>0</v>
      </c>
      <c r="J710" t="s">
        <v>85</v>
      </c>
      <c r="K710" t="s">
        <v>86</v>
      </c>
      <c r="L710" t="s">
        <v>195</v>
      </c>
      <c r="M710" t="s">
        <v>20</v>
      </c>
      <c r="N710" t="s">
        <v>21</v>
      </c>
    </row>
    <row r="711" spans="1:14">
      <c r="A711">
        <v>32320339</v>
      </c>
      <c r="B711" t="s">
        <v>623</v>
      </c>
      <c r="C711">
        <v>2020</v>
      </c>
      <c r="D711" t="s">
        <v>195</v>
      </c>
      <c r="E711" t="s">
        <v>16</v>
      </c>
      <c r="F711" t="s">
        <v>28</v>
      </c>
      <c r="G711">
        <v>1</v>
      </c>
      <c r="H711">
        <v>9</v>
      </c>
      <c r="I711" s="1">
        <f t="shared" si="11"/>
        <v>0.111111111111111</v>
      </c>
      <c r="J711" t="s">
        <v>85</v>
      </c>
      <c r="K711" t="s">
        <v>86</v>
      </c>
      <c r="L711" t="s">
        <v>195</v>
      </c>
      <c r="M711" t="s">
        <v>20</v>
      </c>
      <c r="N711" t="s">
        <v>21</v>
      </c>
    </row>
    <row r="712" spans="1:14">
      <c r="A712">
        <v>32320342</v>
      </c>
      <c r="B712" t="s">
        <v>624</v>
      </c>
      <c r="C712">
        <v>2020</v>
      </c>
      <c r="D712" t="s">
        <v>15</v>
      </c>
      <c r="E712" t="s">
        <v>77</v>
      </c>
      <c r="F712" t="s">
        <v>28</v>
      </c>
      <c r="G712">
        <v>1</v>
      </c>
      <c r="H712">
        <v>94</v>
      </c>
      <c r="I712" s="1">
        <f t="shared" si="11"/>
        <v>0.0106382978723404</v>
      </c>
      <c r="J712" t="s">
        <v>18</v>
      </c>
      <c r="K712" t="s">
        <v>19</v>
      </c>
      <c r="L712" t="s">
        <v>15</v>
      </c>
      <c r="M712" t="s">
        <v>349</v>
      </c>
      <c r="N712" t="s">
        <v>350</v>
      </c>
    </row>
    <row r="713" spans="1:14">
      <c r="A713">
        <v>32376305</v>
      </c>
      <c r="B713" t="s">
        <v>625</v>
      </c>
      <c r="C713">
        <v>2020</v>
      </c>
      <c r="D713" t="s">
        <v>45</v>
      </c>
      <c r="E713" t="s">
        <v>51</v>
      </c>
      <c r="F713" t="s">
        <v>64</v>
      </c>
      <c r="G713">
        <v>1</v>
      </c>
      <c r="H713">
        <v>1</v>
      </c>
      <c r="I713" s="1">
        <f t="shared" si="11"/>
        <v>1</v>
      </c>
      <c r="J713" t="s">
        <v>23</v>
      </c>
      <c r="K713" t="s">
        <v>46</v>
      </c>
      <c r="L713" t="s">
        <v>45</v>
      </c>
      <c r="M713" t="s">
        <v>626</v>
      </c>
      <c r="N713" t="s">
        <v>30</v>
      </c>
    </row>
    <row r="714" spans="1:14">
      <c r="A714">
        <v>32402235</v>
      </c>
      <c r="B714" t="s">
        <v>627</v>
      </c>
      <c r="C714">
        <v>2020</v>
      </c>
      <c r="D714" t="s">
        <v>22</v>
      </c>
      <c r="E714" t="s">
        <v>51</v>
      </c>
      <c r="F714" t="s">
        <v>64</v>
      </c>
      <c r="G714">
        <v>1</v>
      </c>
      <c r="H714">
        <v>1</v>
      </c>
      <c r="I714" s="1">
        <f t="shared" si="11"/>
        <v>1</v>
      </c>
      <c r="J714" t="s">
        <v>23</v>
      </c>
      <c r="K714" t="s">
        <v>24</v>
      </c>
      <c r="L714" t="s">
        <v>22</v>
      </c>
      <c r="M714" t="s">
        <v>146</v>
      </c>
      <c r="N714" t="s">
        <v>134</v>
      </c>
    </row>
    <row r="715" spans="1:14">
      <c r="A715">
        <v>32402235</v>
      </c>
      <c r="B715" t="s">
        <v>627</v>
      </c>
      <c r="C715">
        <v>2020</v>
      </c>
      <c r="D715" t="s">
        <v>45</v>
      </c>
      <c r="E715" t="s">
        <v>51</v>
      </c>
      <c r="F715" t="s">
        <v>41</v>
      </c>
      <c r="G715">
        <v>0</v>
      </c>
      <c r="H715">
        <v>1</v>
      </c>
      <c r="I715" s="1">
        <f t="shared" si="11"/>
        <v>0</v>
      </c>
      <c r="J715" t="s">
        <v>23</v>
      </c>
      <c r="K715" t="s">
        <v>46</v>
      </c>
      <c r="L715" t="s">
        <v>45</v>
      </c>
      <c r="M715" t="s">
        <v>146</v>
      </c>
      <c r="N715" t="s">
        <v>134</v>
      </c>
    </row>
    <row r="716" spans="1:14">
      <c r="A716">
        <v>32402347</v>
      </c>
      <c r="B716" t="s">
        <v>628</v>
      </c>
      <c r="C716">
        <v>2020</v>
      </c>
      <c r="D716" t="s">
        <v>22</v>
      </c>
      <c r="E716" t="s">
        <v>51</v>
      </c>
      <c r="F716" t="s">
        <v>64</v>
      </c>
      <c r="G716">
        <v>0</v>
      </c>
      <c r="H716">
        <v>1</v>
      </c>
      <c r="I716" s="1">
        <f t="shared" si="11"/>
        <v>0</v>
      </c>
      <c r="J716" t="s">
        <v>23</v>
      </c>
      <c r="K716" t="s">
        <v>24</v>
      </c>
      <c r="L716" t="s">
        <v>22</v>
      </c>
      <c r="M716" t="s">
        <v>75</v>
      </c>
      <c r="N716" t="s">
        <v>50</v>
      </c>
    </row>
    <row r="717" spans="1:14">
      <c r="A717">
        <v>32402347</v>
      </c>
      <c r="B717" t="s">
        <v>628</v>
      </c>
      <c r="C717">
        <v>2020</v>
      </c>
      <c r="D717" t="s">
        <v>124</v>
      </c>
      <c r="E717" t="s">
        <v>51</v>
      </c>
      <c r="F717" t="s">
        <v>64</v>
      </c>
      <c r="G717">
        <v>0</v>
      </c>
      <c r="H717">
        <v>1</v>
      </c>
      <c r="I717" s="1">
        <f t="shared" si="11"/>
        <v>0</v>
      </c>
      <c r="J717" t="s">
        <v>125</v>
      </c>
      <c r="K717" t="s">
        <v>126</v>
      </c>
      <c r="L717" t="s">
        <v>124</v>
      </c>
      <c r="M717" t="s">
        <v>75</v>
      </c>
      <c r="N717" t="s">
        <v>50</v>
      </c>
    </row>
    <row r="718" spans="1:14">
      <c r="A718">
        <v>32402347</v>
      </c>
      <c r="B718" t="s">
        <v>628</v>
      </c>
      <c r="C718">
        <v>2020</v>
      </c>
      <c r="D718" t="s">
        <v>15</v>
      </c>
      <c r="E718" t="s">
        <v>51</v>
      </c>
      <c r="F718" t="s">
        <v>64</v>
      </c>
      <c r="G718">
        <v>1</v>
      </c>
      <c r="H718">
        <v>1</v>
      </c>
      <c r="I718" s="1">
        <f t="shared" si="11"/>
        <v>1</v>
      </c>
      <c r="J718" t="s">
        <v>18</v>
      </c>
      <c r="K718" t="s">
        <v>19</v>
      </c>
      <c r="L718" t="s">
        <v>15</v>
      </c>
      <c r="M718" t="s">
        <v>75</v>
      </c>
      <c r="N718" t="s">
        <v>50</v>
      </c>
    </row>
    <row r="719" spans="1:14">
      <c r="A719">
        <v>32404029</v>
      </c>
      <c r="B719" t="s">
        <v>629</v>
      </c>
      <c r="C719">
        <v>2020</v>
      </c>
      <c r="D719" t="s">
        <v>115</v>
      </c>
      <c r="E719" t="s">
        <v>16</v>
      </c>
      <c r="F719" t="s">
        <v>64</v>
      </c>
      <c r="G719">
        <v>1</v>
      </c>
      <c r="H719">
        <v>1</v>
      </c>
      <c r="I719" s="1">
        <f t="shared" si="11"/>
        <v>1</v>
      </c>
      <c r="J719" t="s">
        <v>38</v>
      </c>
      <c r="K719" t="s">
        <v>39</v>
      </c>
      <c r="L719" t="s">
        <v>115</v>
      </c>
      <c r="M719" t="s">
        <v>20</v>
      </c>
      <c r="N719" t="s">
        <v>21</v>
      </c>
    </row>
    <row r="720" spans="1:14">
      <c r="A720">
        <v>32404029</v>
      </c>
      <c r="B720" t="s">
        <v>629</v>
      </c>
      <c r="C720">
        <v>2020</v>
      </c>
      <c r="D720" t="s">
        <v>37</v>
      </c>
      <c r="E720" t="s">
        <v>16</v>
      </c>
      <c r="F720" t="s">
        <v>64</v>
      </c>
      <c r="G720">
        <v>0</v>
      </c>
      <c r="H720">
        <v>1</v>
      </c>
      <c r="I720" s="1">
        <f t="shared" si="11"/>
        <v>0</v>
      </c>
      <c r="J720" t="s">
        <v>38</v>
      </c>
      <c r="K720" t="s">
        <v>39</v>
      </c>
      <c r="L720" t="s">
        <v>37</v>
      </c>
      <c r="M720" t="s">
        <v>20</v>
      </c>
      <c r="N720" t="s">
        <v>21</v>
      </c>
    </row>
    <row r="721" spans="1:14">
      <c r="A721">
        <v>32434283</v>
      </c>
      <c r="B721" t="s">
        <v>450</v>
      </c>
      <c r="C721">
        <v>2020</v>
      </c>
      <c r="D721" t="s">
        <v>45</v>
      </c>
      <c r="E721" t="s">
        <v>48</v>
      </c>
      <c r="F721" t="s">
        <v>64</v>
      </c>
      <c r="G721">
        <v>3</v>
      </c>
      <c r="H721">
        <v>3</v>
      </c>
      <c r="I721" s="1">
        <f t="shared" si="11"/>
        <v>1</v>
      </c>
      <c r="J721" t="s">
        <v>23</v>
      </c>
      <c r="K721" t="s">
        <v>46</v>
      </c>
      <c r="L721" t="s">
        <v>45</v>
      </c>
      <c r="M721" t="s">
        <v>29</v>
      </c>
      <c r="N721" t="s">
        <v>30</v>
      </c>
    </row>
    <row r="722" spans="1:14">
      <c r="A722">
        <v>32434283</v>
      </c>
      <c r="B722" t="s">
        <v>450</v>
      </c>
      <c r="C722">
        <v>2020</v>
      </c>
      <c r="D722" t="s">
        <v>45</v>
      </c>
      <c r="E722" t="s">
        <v>48</v>
      </c>
      <c r="F722" t="s">
        <v>41</v>
      </c>
      <c r="G722">
        <v>14</v>
      </c>
      <c r="H722">
        <v>558</v>
      </c>
      <c r="I722" s="1">
        <f t="shared" si="11"/>
        <v>0.025089605734767</v>
      </c>
      <c r="J722" t="s">
        <v>23</v>
      </c>
      <c r="K722" t="s">
        <v>46</v>
      </c>
      <c r="L722" t="s">
        <v>45</v>
      </c>
      <c r="M722" t="s">
        <v>29</v>
      </c>
      <c r="N722" t="s">
        <v>30</v>
      </c>
    </row>
    <row r="723" spans="1:14">
      <c r="A723">
        <v>32493465</v>
      </c>
      <c r="B723" t="s">
        <v>523</v>
      </c>
      <c r="C723">
        <v>2020</v>
      </c>
      <c r="D723" t="s">
        <v>124</v>
      </c>
      <c r="E723" t="s">
        <v>77</v>
      </c>
      <c r="F723" t="s">
        <v>64</v>
      </c>
      <c r="G723">
        <v>24</v>
      </c>
      <c r="H723">
        <v>142</v>
      </c>
      <c r="I723" s="1">
        <f t="shared" si="11"/>
        <v>0.169014084507042</v>
      </c>
      <c r="J723" t="s">
        <v>125</v>
      </c>
      <c r="K723" t="s">
        <v>126</v>
      </c>
      <c r="L723" t="s">
        <v>124</v>
      </c>
      <c r="M723" t="s">
        <v>78</v>
      </c>
      <c r="N723" t="s">
        <v>50</v>
      </c>
    </row>
    <row r="724" spans="1:14">
      <c r="A724">
        <v>32530113</v>
      </c>
      <c r="B724" t="s">
        <v>630</v>
      </c>
      <c r="C724">
        <v>2021</v>
      </c>
      <c r="D724" t="s">
        <v>537</v>
      </c>
      <c r="E724" t="s">
        <v>77</v>
      </c>
      <c r="F724" t="s">
        <v>64</v>
      </c>
      <c r="G724">
        <v>29</v>
      </c>
      <c r="H724">
        <v>80</v>
      </c>
      <c r="I724" s="1">
        <f t="shared" si="11"/>
        <v>0.3625</v>
      </c>
      <c r="J724" t="s">
        <v>94</v>
      </c>
      <c r="K724" t="s">
        <v>95</v>
      </c>
      <c r="L724" t="s">
        <v>537</v>
      </c>
      <c r="M724" t="s">
        <v>349</v>
      </c>
      <c r="N724" t="s">
        <v>350</v>
      </c>
    </row>
    <row r="725" spans="1:14">
      <c r="A725">
        <v>32553066</v>
      </c>
      <c r="B725" t="s">
        <v>631</v>
      </c>
      <c r="C725">
        <v>2020</v>
      </c>
      <c r="D725" t="s">
        <v>313</v>
      </c>
      <c r="E725" t="s">
        <v>77</v>
      </c>
      <c r="F725" t="s">
        <v>64</v>
      </c>
      <c r="G725">
        <v>30</v>
      </c>
      <c r="H725">
        <v>80</v>
      </c>
      <c r="I725" s="1">
        <f t="shared" si="11"/>
        <v>0.375</v>
      </c>
      <c r="J725" t="s">
        <v>35</v>
      </c>
      <c r="K725" t="s">
        <v>107</v>
      </c>
      <c r="L725" t="s">
        <v>313</v>
      </c>
      <c r="M725" t="s">
        <v>68</v>
      </c>
      <c r="N725" t="s">
        <v>30</v>
      </c>
    </row>
    <row r="726" spans="1:14">
      <c r="A726">
        <v>32599836</v>
      </c>
      <c r="B726" t="s">
        <v>603</v>
      </c>
      <c r="C726">
        <v>2020</v>
      </c>
      <c r="D726" t="s">
        <v>531</v>
      </c>
      <c r="E726" t="s">
        <v>77</v>
      </c>
      <c r="F726" t="s">
        <v>64</v>
      </c>
      <c r="G726">
        <v>18</v>
      </c>
      <c r="H726">
        <v>2297</v>
      </c>
      <c r="I726" s="1">
        <f t="shared" si="11"/>
        <v>0.00783630822812364</v>
      </c>
      <c r="J726" t="s">
        <v>55</v>
      </c>
      <c r="K726" t="s">
        <v>56</v>
      </c>
      <c r="L726" t="s">
        <v>531</v>
      </c>
      <c r="M726" t="s">
        <v>151</v>
      </c>
      <c r="N726" t="s">
        <v>30</v>
      </c>
    </row>
    <row r="727" spans="1:14">
      <c r="A727">
        <v>32664240</v>
      </c>
      <c r="B727" t="s">
        <v>632</v>
      </c>
      <c r="C727">
        <v>2020</v>
      </c>
      <c r="D727" t="s">
        <v>45</v>
      </c>
      <c r="E727" t="s">
        <v>77</v>
      </c>
      <c r="F727" t="s">
        <v>41</v>
      </c>
      <c r="G727">
        <v>45</v>
      </c>
      <c r="H727">
        <v>470</v>
      </c>
      <c r="I727" s="1">
        <f t="shared" si="11"/>
        <v>0.0957446808510638</v>
      </c>
      <c r="J727" t="s">
        <v>23</v>
      </c>
      <c r="K727" t="s">
        <v>46</v>
      </c>
      <c r="L727" t="s">
        <v>45</v>
      </c>
      <c r="M727" t="s">
        <v>151</v>
      </c>
      <c r="N727" t="s">
        <v>30</v>
      </c>
    </row>
    <row r="728" spans="1:14">
      <c r="A728">
        <v>32725949</v>
      </c>
      <c r="B728" t="s">
        <v>633</v>
      </c>
      <c r="C728">
        <v>2021</v>
      </c>
      <c r="D728" t="s">
        <v>83</v>
      </c>
      <c r="E728" t="s">
        <v>77</v>
      </c>
      <c r="F728" t="s">
        <v>28</v>
      </c>
      <c r="G728">
        <v>0</v>
      </c>
      <c r="H728">
        <v>61</v>
      </c>
      <c r="I728" s="1">
        <f t="shared" si="11"/>
        <v>0</v>
      </c>
      <c r="J728" t="s">
        <v>55</v>
      </c>
      <c r="K728" t="s">
        <v>56</v>
      </c>
      <c r="L728" t="s">
        <v>83</v>
      </c>
      <c r="M728" t="s">
        <v>349</v>
      </c>
      <c r="N728" t="s">
        <v>350</v>
      </c>
    </row>
    <row r="729" spans="1:14">
      <c r="A729">
        <v>32725949</v>
      </c>
      <c r="B729" t="s">
        <v>633</v>
      </c>
      <c r="C729">
        <v>2021</v>
      </c>
      <c r="D729" t="s">
        <v>93</v>
      </c>
      <c r="E729" t="s">
        <v>77</v>
      </c>
      <c r="F729" t="s">
        <v>28</v>
      </c>
      <c r="G729">
        <v>32</v>
      </c>
      <c r="H729">
        <v>61</v>
      </c>
      <c r="I729" s="1">
        <f t="shared" si="11"/>
        <v>0.524590163934426</v>
      </c>
      <c r="J729" t="s">
        <v>94</v>
      </c>
      <c r="K729" t="s">
        <v>95</v>
      </c>
      <c r="L729" t="s">
        <v>93</v>
      </c>
      <c r="M729" t="s">
        <v>349</v>
      </c>
      <c r="N729" t="s">
        <v>350</v>
      </c>
    </row>
    <row r="730" spans="1:14">
      <c r="A730">
        <v>32725949</v>
      </c>
      <c r="B730" t="s">
        <v>633</v>
      </c>
      <c r="C730">
        <v>2021</v>
      </c>
      <c r="D730" t="s">
        <v>124</v>
      </c>
      <c r="E730" t="s">
        <v>77</v>
      </c>
      <c r="F730" t="s">
        <v>28</v>
      </c>
      <c r="G730">
        <v>8</v>
      </c>
      <c r="H730">
        <v>61</v>
      </c>
      <c r="I730" s="1">
        <f t="shared" si="11"/>
        <v>0.131147540983607</v>
      </c>
      <c r="J730" t="s">
        <v>125</v>
      </c>
      <c r="K730" t="s">
        <v>126</v>
      </c>
      <c r="L730" t="s">
        <v>124</v>
      </c>
      <c r="M730" t="s">
        <v>349</v>
      </c>
      <c r="N730" t="s">
        <v>350</v>
      </c>
    </row>
    <row r="731" spans="1:14">
      <c r="A731">
        <v>32725949</v>
      </c>
      <c r="B731" t="s">
        <v>633</v>
      </c>
      <c r="C731">
        <v>2021</v>
      </c>
      <c r="D731" t="s">
        <v>195</v>
      </c>
      <c r="E731" t="s">
        <v>77</v>
      </c>
      <c r="F731" t="s">
        <v>28</v>
      </c>
      <c r="G731">
        <v>6</v>
      </c>
      <c r="H731">
        <v>61</v>
      </c>
      <c r="I731" s="1">
        <f t="shared" si="11"/>
        <v>0.0983606557377049</v>
      </c>
      <c r="J731" t="s">
        <v>85</v>
      </c>
      <c r="K731" t="s">
        <v>86</v>
      </c>
      <c r="L731" t="s">
        <v>195</v>
      </c>
      <c r="M731" t="s">
        <v>349</v>
      </c>
      <c r="N731" t="s">
        <v>350</v>
      </c>
    </row>
    <row r="732" spans="1:14">
      <c r="A732">
        <v>32777387</v>
      </c>
      <c r="B732" t="s">
        <v>269</v>
      </c>
      <c r="C732">
        <v>2020</v>
      </c>
      <c r="D732" t="s">
        <v>124</v>
      </c>
      <c r="E732" t="s">
        <v>77</v>
      </c>
      <c r="F732" t="s">
        <v>64</v>
      </c>
      <c r="G732">
        <v>74</v>
      </c>
      <c r="H732">
        <v>1880</v>
      </c>
      <c r="I732" s="1">
        <f t="shared" si="11"/>
        <v>0.0393617021276596</v>
      </c>
      <c r="J732" t="s">
        <v>125</v>
      </c>
      <c r="K732" t="s">
        <v>126</v>
      </c>
      <c r="L732" t="s">
        <v>124</v>
      </c>
      <c r="M732" t="s">
        <v>68</v>
      </c>
      <c r="N732" t="s">
        <v>30</v>
      </c>
    </row>
    <row r="733" spans="1:14">
      <c r="A733">
        <v>32786111</v>
      </c>
      <c r="B733" t="s">
        <v>634</v>
      </c>
      <c r="C733">
        <v>2021</v>
      </c>
      <c r="D733" t="s">
        <v>491</v>
      </c>
      <c r="E733" t="s">
        <v>51</v>
      </c>
      <c r="F733" t="s">
        <v>64</v>
      </c>
      <c r="G733">
        <v>10</v>
      </c>
      <c r="H733">
        <v>59</v>
      </c>
      <c r="I733" s="1">
        <f t="shared" si="11"/>
        <v>0.169491525423729</v>
      </c>
      <c r="J733" t="s">
        <v>94</v>
      </c>
      <c r="K733" t="s">
        <v>95</v>
      </c>
      <c r="L733" t="s">
        <v>491</v>
      </c>
      <c r="M733" t="s">
        <v>265</v>
      </c>
      <c r="N733" t="s">
        <v>50</v>
      </c>
    </row>
    <row r="734" spans="1:14">
      <c r="A734">
        <v>32949657</v>
      </c>
      <c r="B734" t="s">
        <v>635</v>
      </c>
      <c r="C734">
        <v>2020</v>
      </c>
      <c r="D734" t="s">
        <v>22</v>
      </c>
      <c r="E734" t="s">
        <v>16</v>
      </c>
      <c r="F734" t="s">
        <v>64</v>
      </c>
      <c r="G734">
        <v>23</v>
      </c>
      <c r="H734">
        <v>86</v>
      </c>
      <c r="I734" s="1">
        <f t="shared" si="11"/>
        <v>0.267441860465116</v>
      </c>
      <c r="J734" t="s">
        <v>23</v>
      </c>
      <c r="K734" t="s">
        <v>24</v>
      </c>
      <c r="L734" t="s">
        <v>22</v>
      </c>
      <c r="M734" t="s">
        <v>636</v>
      </c>
      <c r="N734" t="s">
        <v>21</v>
      </c>
    </row>
    <row r="735" spans="1:14">
      <c r="A735">
        <v>33006818</v>
      </c>
      <c r="B735" t="s">
        <v>637</v>
      </c>
      <c r="C735">
        <v>2021</v>
      </c>
      <c r="D735" t="s">
        <v>124</v>
      </c>
      <c r="E735" t="s">
        <v>77</v>
      </c>
      <c r="F735" t="s">
        <v>64</v>
      </c>
      <c r="G735">
        <v>15</v>
      </c>
      <c r="H735">
        <v>611</v>
      </c>
      <c r="I735" s="1">
        <f t="shared" si="11"/>
        <v>0.0245499181669394</v>
      </c>
      <c r="J735" t="s">
        <v>125</v>
      </c>
      <c r="K735" t="s">
        <v>126</v>
      </c>
      <c r="L735" t="s">
        <v>124</v>
      </c>
      <c r="M735" t="s">
        <v>75</v>
      </c>
      <c r="N735" t="s">
        <v>50</v>
      </c>
    </row>
    <row r="736" spans="1:14">
      <c r="A736">
        <v>33008103</v>
      </c>
      <c r="B736" t="s">
        <v>638</v>
      </c>
      <c r="C736">
        <v>2020</v>
      </c>
      <c r="D736" t="s">
        <v>124</v>
      </c>
      <c r="E736" t="s">
        <v>77</v>
      </c>
      <c r="F736" t="s">
        <v>28</v>
      </c>
      <c r="G736">
        <v>282</v>
      </c>
      <c r="H736">
        <v>1157</v>
      </c>
      <c r="I736" s="1">
        <f t="shared" si="11"/>
        <v>0.243733794295592</v>
      </c>
      <c r="J736" t="s">
        <v>125</v>
      </c>
      <c r="K736" t="s">
        <v>126</v>
      </c>
      <c r="L736" t="s">
        <v>124</v>
      </c>
      <c r="M736" t="s">
        <v>318</v>
      </c>
      <c r="N736" t="s">
        <v>50</v>
      </c>
    </row>
    <row r="737" spans="1:14">
      <c r="A737">
        <v>33050408</v>
      </c>
      <c r="B737" t="s">
        <v>639</v>
      </c>
      <c r="C737">
        <v>2020</v>
      </c>
      <c r="D737" t="s">
        <v>124</v>
      </c>
      <c r="E737" t="s">
        <v>51</v>
      </c>
      <c r="F737" t="s">
        <v>64</v>
      </c>
      <c r="G737">
        <v>1</v>
      </c>
      <c r="H737">
        <v>26</v>
      </c>
      <c r="I737" s="1">
        <f t="shared" si="11"/>
        <v>0.0384615384615385</v>
      </c>
      <c r="J737" t="s">
        <v>125</v>
      </c>
      <c r="K737" t="s">
        <v>126</v>
      </c>
      <c r="L737" t="s">
        <v>124</v>
      </c>
      <c r="M737" t="s">
        <v>301</v>
      </c>
      <c r="N737" t="s">
        <v>50</v>
      </c>
    </row>
    <row r="738" spans="1:14">
      <c r="A738">
        <v>33085828</v>
      </c>
      <c r="B738" t="s">
        <v>640</v>
      </c>
      <c r="C738">
        <v>2021</v>
      </c>
      <c r="D738" t="s">
        <v>249</v>
      </c>
      <c r="E738" t="s">
        <v>77</v>
      </c>
      <c r="F738" t="s">
        <v>64</v>
      </c>
      <c r="G738">
        <v>32</v>
      </c>
      <c r="H738">
        <v>7157</v>
      </c>
      <c r="I738" s="1">
        <f t="shared" si="11"/>
        <v>0.0044711471286852</v>
      </c>
      <c r="J738" t="s">
        <v>250</v>
      </c>
      <c r="K738" t="s">
        <v>251</v>
      </c>
      <c r="L738" t="s">
        <v>249</v>
      </c>
      <c r="M738" t="s">
        <v>49</v>
      </c>
      <c r="N738" t="s">
        <v>50</v>
      </c>
    </row>
    <row r="739" spans="1:14">
      <c r="A739">
        <v>33168902</v>
      </c>
      <c r="B739" t="s">
        <v>641</v>
      </c>
      <c r="C739">
        <v>2020</v>
      </c>
      <c r="D739" t="s">
        <v>642</v>
      </c>
      <c r="E739" t="s">
        <v>131</v>
      </c>
      <c r="F739" t="s">
        <v>64</v>
      </c>
      <c r="G739">
        <v>57</v>
      </c>
      <c r="H739">
        <v>147</v>
      </c>
      <c r="I739" s="1">
        <f t="shared" si="11"/>
        <v>0.387755102040816</v>
      </c>
      <c r="J739" t="s">
        <v>245</v>
      </c>
      <c r="K739" t="s">
        <v>24</v>
      </c>
      <c r="L739" t="s">
        <v>642</v>
      </c>
      <c r="M739" t="s">
        <v>643</v>
      </c>
      <c r="N739" t="s">
        <v>50</v>
      </c>
    </row>
    <row r="740" spans="1:14">
      <c r="A740">
        <v>33176056</v>
      </c>
      <c r="B740" t="s">
        <v>644</v>
      </c>
      <c r="C740">
        <v>2021</v>
      </c>
      <c r="D740" t="s">
        <v>115</v>
      </c>
      <c r="E740" t="s">
        <v>51</v>
      </c>
      <c r="F740" t="s">
        <v>64</v>
      </c>
      <c r="G740">
        <v>7</v>
      </c>
      <c r="H740">
        <v>251</v>
      </c>
      <c r="I740" s="1">
        <f t="shared" si="11"/>
        <v>0.0278884462151394</v>
      </c>
      <c r="J740" t="s">
        <v>38</v>
      </c>
      <c r="K740" t="s">
        <v>39</v>
      </c>
      <c r="L740" t="s">
        <v>115</v>
      </c>
      <c r="M740" t="s">
        <v>75</v>
      </c>
      <c r="N740" t="s">
        <v>50</v>
      </c>
    </row>
    <row r="741" spans="1:14">
      <c r="A741">
        <v>33218052</v>
      </c>
      <c r="B741" t="s">
        <v>645</v>
      </c>
      <c r="C741">
        <v>2020</v>
      </c>
      <c r="D741" t="s">
        <v>53</v>
      </c>
      <c r="E741" t="s">
        <v>51</v>
      </c>
      <c r="F741" t="s">
        <v>28</v>
      </c>
      <c r="G741">
        <v>260</v>
      </c>
      <c r="H741">
        <v>1233</v>
      </c>
      <c r="I741" s="1">
        <f t="shared" si="11"/>
        <v>0.210867802108678</v>
      </c>
      <c r="J741" t="s">
        <v>55</v>
      </c>
      <c r="K741" t="s">
        <v>56</v>
      </c>
      <c r="L741" t="s">
        <v>53</v>
      </c>
      <c r="M741" t="s">
        <v>49</v>
      </c>
      <c r="N741" t="s">
        <v>50</v>
      </c>
    </row>
    <row r="742" spans="1:14">
      <c r="A742">
        <v>33223121</v>
      </c>
      <c r="B742" t="s">
        <v>646</v>
      </c>
      <c r="C742">
        <v>2021</v>
      </c>
      <c r="D742" t="s">
        <v>195</v>
      </c>
      <c r="E742" t="s">
        <v>48</v>
      </c>
      <c r="F742" t="s">
        <v>64</v>
      </c>
      <c r="G742">
        <v>18</v>
      </c>
      <c r="H742">
        <v>22</v>
      </c>
      <c r="I742" s="1">
        <f t="shared" si="11"/>
        <v>0.818181818181818</v>
      </c>
      <c r="J742" t="s">
        <v>85</v>
      </c>
      <c r="K742" t="s">
        <v>86</v>
      </c>
      <c r="L742" t="s">
        <v>195</v>
      </c>
      <c r="M742" t="s">
        <v>29</v>
      </c>
      <c r="N742" t="s">
        <v>30</v>
      </c>
    </row>
    <row r="743" spans="1:14">
      <c r="A743">
        <v>33326058</v>
      </c>
      <c r="B743" t="s">
        <v>647</v>
      </c>
      <c r="C743">
        <v>2020</v>
      </c>
      <c r="D743" t="s">
        <v>83</v>
      </c>
      <c r="E743" t="s">
        <v>77</v>
      </c>
      <c r="F743" t="s">
        <v>64</v>
      </c>
      <c r="G743">
        <v>0</v>
      </c>
      <c r="H743">
        <v>366</v>
      </c>
      <c r="I743" s="1">
        <f t="shared" si="11"/>
        <v>0</v>
      </c>
      <c r="J743" t="s">
        <v>55</v>
      </c>
      <c r="K743" t="s">
        <v>56</v>
      </c>
      <c r="L743" t="s">
        <v>83</v>
      </c>
      <c r="M743" t="s">
        <v>148</v>
      </c>
      <c r="N743" t="s">
        <v>50</v>
      </c>
    </row>
    <row r="744" spans="1:14">
      <c r="A744">
        <v>33326058</v>
      </c>
      <c r="B744" t="s">
        <v>647</v>
      </c>
      <c r="C744">
        <v>2020</v>
      </c>
      <c r="D744" t="s">
        <v>15</v>
      </c>
      <c r="E744" t="s">
        <v>77</v>
      </c>
      <c r="F744" t="s">
        <v>64</v>
      </c>
      <c r="G744">
        <v>0</v>
      </c>
      <c r="H744">
        <v>362</v>
      </c>
      <c r="I744" s="1">
        <f t="shared" si="11"/>
        <v>0</v>
      </c>
      <c r="J744" t="s">
        <v>18</v>
      </c>
      <c r="K744" t="s">
        <v>19</v>
      </c>
      <c r="L744" t="s">
        <v>15</v>
      </c>
      <c r="M744" t="s">
        <v>148</v>
      </c>
      <c r="N744" t="s">
        <v>50</v>
      </c>
    </row>
    <row r="745" spans="1:14">
      <c r="A745">
        <v>33326058</v>
      </c>
      <c r="B745" t="s">
        <v>647</v>
      </c>
      <c r="C745">
        <v>2020</v>
      </c>
      <c r="D745" t="s">
        <v>124</v>
      </c>
      <c r="E745" t="s">
        <v>77</v>
      </c>
      <c r="F745" t="s">
        <v>28</v>
      </c>
      <c r="G745">
        <v>32</v>
      </c>
      <c r="H745">
        <v>181</v>
      </c>
      <c r="I745" s="1">
        <f t="shared" si="11"/>
        <v>0.176795580110497</v>
      </c>
      <c r="J745" t="s">
        <v>125</v>
      </c>
      <c r="K745" t="s">
        <v>126</v>
      </c>
      <c r="L745" t="s">
        <v>124</v>
      </c>
      <c r="M745" t="s">
        <v>148</v>
      </c>
      <c r="N745" t="s">
        <v>50</v>
      </c>
    </row>
    <row r="746" spans="1:14">
      <c r="A746">
        <v>33326058</v>
      </c>
      <c r="B746" t="s">
        <v>647</v>
      </c>
      <c r="C746">
        <v>2020</v>
      </c>
      <c r="D746" t="s">
        <v>249</v>
      </c>
      <c r="E746" t="s">
        <v>77</v>
      </c>
      <c r="F746" t="s">
        <v>64</v>
      </c>
      <c r="G746">
        <v>0</v>
      </c>
      <c r="H746">
        <v>366</v>
      </c>
      <c r="I746" s="1">
        <f t="shared" si="11"/>
        <v>0</v>
      </c>
      <c r="J746" t="s">
        <v>250</v>
      </c>
      <c r="K746" t="s">
        <v>251</v>
      </c>
      <c r="L746" t="s">
        <v>249</v>
      </c>
      <c r="M746" t="s">
        <v>148</v>
      </c>
      <c r="N746" t="s">
        <v>50</v>
      </c>
    </row>
    <row r="747" spans="1:14">
      <c r="A747">
        <v>33351995</v>
      </c>
      <c r="B747" t="s">
        <v>648</v>
      </c>
      <c r="C747">
        <v>2021</v>
      </c>
      <c r="D747" t="s">
        <v>249</v>
      </c>
      <c r="E747" t="s">
        <v>77</v>
      </c>
      <c r="F747" t="s">
        <v>64</v>
      </c>
      <c r="G747">
        <v>2</v>
      </c>
      <c r="H747">
        <v>3</v>
      </c>
      <c r="I747" s="1">
        <f t="shared" si="11"/>
        <v>0.666666666666667</v>
      </c>
      <c r="J747" t="s">
        <v>250</v>
      </c>
      <c r="K747" t="s">
        <v>251</v>
      </c>
      <c r="L747" t="s">
        <v>249</v>
      </c>
      <c r="M747" t="s">
        <v>649</v>
      </c>
      <c r="N747" t="s">
        <v>30</v>
      </c>
    </row>
    <row r="748" spans="1:14">
      <c r="A748">
        <v>33351995</v>
      </c>
      <c r="B748" t="s">
        <v>648</v>
      </c>
      <c r="C748">
        <v>2021</v>
      </c>
      <c r="D748" t="s">
        <v>249</v>
      </c>
      <c r="E748" t="s">
        <v>77</v>
      </c>
      <c r="F748" t="s">
        <v>64</v>
      </c>
      <c r="G748">
        <v>2</v>
      </c>
      <c r="H748">
        <v>3</v>
      </c>
      <c r="I748" s="1">
        <f t="shared" si="11"/>
        <v>0.666666666666667</v>
      </c>
      <c r="J748" t="s">
        <v>250</v>
      </c>
      <c r="K748" t="s">
        <v>251</v>
      </c>
      <c r="L748" t="s">
        <v>249</v>
      </c>
      <c r="M748" t="s">
        <v>650</v>
      </c>
      <c r="N748" t="s">
        <v>30</v>
      </c>
    </row>
    <row r="749" spans="1:14">
      <c r="A749">
        <v>33351995</v>
      </c>
      <c r="B749" t="s">
        <v>648</v>
      </c>
      <c r="C749">
        <v>2021</v>
      </c>
      <c r="D749" t="s">
        <v>249</v>
      </c>
      <c r="E749" t="s">
        <v>77</v>
      </c>
      <c r="F749" t="s">
        <v>64</v>
      </c>
      <c r="G749">
        <v>4</v>
      </c>
      <c r="H749">
        <v>5</v>
      </c>
      <c r="I749" s="1">
        <f t="shared" si="11"/>
        <v>0.8</v>
      </c>
      <c r="J749" t="s">
        <v>250</v>
      </c>
      <c r="K749" t="s">
        <v>251</v>
      </c>
      <c r="L749" t="s">
        <v>249</v>
      </c>
      <c r="M749" t="s">
        <v>651</v>
      </c>
      <c r="N749" t="s">
        <v>30</v>
      </c>
    </row>
    <row r="750" spans="1:14">
      <c r="A750">
        <v>33351995</v>
      </c>
      <c r="B750" t="s">
        <v>648</v>
      </c>
      <c r="C750">
        <v>2021</v>
      </c>
      <c r="D750" t="s">
        <v>249</v>
      </c>
      <c r="E750" t="s">
        <v>77</v>
      </c>
      <c r="F750" t="s">
        <v>64</v>
      </c>
      <c r="G750">
        <v>2</v>
      </c>
      <c r="H750">
        <v>3</v>
      </c>
      <c r="I750" s="1">
        <f t="shared" si="11"/>
        <v>0.666666666666667</v>
      </c>
      <c r="J750" t="s">
        <v>250</v>
      </c>
      <c r="K750" t="s">
        <v>251</v>
      </c>
      <c r="L750" t="s">
        <v>249</v>
      </c>
      <c r="M750" t="s">
        <v>651</v>
      </c>
      <c r="N750" t="s">
        <v>30</v>
      </c>
    </row>
    <row r="751" spans="1:14">
      <c r="A751">
        <v>33351995</v>
      </c>
      <c r="B751" t="s">
        <v>648</v>
      </c>
      <c r="C751">
        <v>2021</v>
      </c>
      <c r="D751" t="s">
        <v>249</v>
      </c>
      <c r="E751" t="s">
        <v>77</v>
      </c>
      <c r="F751" t="s">
        <v>64</v>
      </c>
      <c r="G751">
        <v>4</v>
      </c>
      <c r="H751">
        <v>5</v>
      </c>
      <c r="I751" s="1">
        <f t="shared" si="11"/>
        <v>0.8</v>
      </c>
      <c r="J751" t="s">
        <v>250</v>
      </c>
      <c r="K751" t="s">
        <v>251</v>
      </c>
      <c r="L751" t="s">
        <v>249</v>
      </c>
      <c r="M751" t="s">
        <v>649</v>
      </c>
      <c r="N751" t="s">
        <v>30</v>
      </c>
    </row>
    <row r="752" spans="1:14">
      <c r="A752">
        <v>33351995</v>
      </c>
      <c r="B752" t="s">
        <v>648</v>
      </c>
      <c r="C752">
        <v>2021</v>
      </c>
      <c r="D752" t="s">
        <v>249</v>
      </c>
      <c r="E752" t="s">
        <v>77</v>
      </c>
      <c r="F752" t="s">
        <v>64</v>
      </c>
      <c r="G752">
        <v>4</v>
      </c>
      <c r="H752">
        <v>5</v>
      </c>
      <c r="I752" s="1">
        <f t="shared" si="11"/>
        <v>0.8</v>
      </c>
      <c r="J752" t="s">
        <v>250</v>
      </c>
      <c r="K752" t="s">
        <v>251</v>
      </c>
      <c r="L752" t="s">
        <v>249</v>
      </c>
      <c r="M752" t="s">
        <v>650</v>
      </c>
      <c r="N752" t="s">
        <v>30</v>
      </c>
    </row>
    <row r="753" spans="1:14">
      <c r="A753">
        <v>33351995</v>
      </c>
      <c r="B753" t="s">
        <v>648</v>
      </c>
      <c r="C753">
        <v>2021</v>
      </c>
      <c r="D753" t="s">
        <v>249</v>
      </c>
      <c r="E753" t="s">
        <v>77</v>
      </c>
      <c r="F753" t="s">
        <v>64</v>
      </c>
      <c r="G753">
        <v>0</v>
      </c>
      <c r="H753">
        <v>1</v>
      </c>
      <c r="I753" s="1">
        <f t="shared" si="11"/>
        <v>0</v>
      </c>
      <c r="J753" t="s">
        <v>250</v>
      </c>
      <c r="K753" t="s">
        <v>251</v>
      </c>
      <c r="L753" t="s">
        <v>249</v>
      </c>
      <c r="M753" t="s">
        <v>651</v>
      </c>
      <c r="N753" t="s">
        <v>30</v>
      </c>
    </row>
    <row r="754" spans="1:14">
      <c r="A754">
        <v>33351995</v>
      </c>
      <c r="B754" t="s">
        <v>648</v>
      </c>
      <c r="C754">
        <v>2021</v>
      </c>
      <c r="D754" t="s">
        <v>249</v>
      </c>
      <c r="E754" t="s">
        <v>77</v>
      </c>
      <c r="F754" t="s">
        <v>64</v>
      </c>
      <c r="G754">
        <v>0</v>
      </c>
      <c r="H754">
        <v>1</v>
      </c>
      <c r="I754" s="1">
        <f t="shared" si="11"/>
        <v>0</v>
      </c>
      <c r="J754" t="s">
        <v>250</v>
      </c>
      <c r="K754" t="s">
        <v>251</v>
      </c>
      <c r="L754" t="s">
        <v>249</v>
      </c>
      <c r="M754" t="s">
        <v>649</v>
      </c>
      <c r="N754" t="s">
        <v>30</v>
      </c>
    </row>
    <row r="755" spans="1:14">
      <c r="A755">
        <v>33351995</v>
      </c>
      <c r="B755" t="s">
        <v>648</v>
      </c>
      <c r="C755">
        <v>2021</v>
      </c>
      <c r="D755" t="s">
        <v>249</v>
      </c>
      <c r="E755" t="s">
        <v>77</v>
      </c>
      <c r="F755" t="s">
        <v>64</v>
      </c>
      <c r="G755">
        <v>0</v>
      </c>
      <c r="H755">
        <v>1</v>
      </c>
      <c r="I755" s="1">
        <f t="shared" si="11"/>
        <v>0</v>
      </c>
      <c r="J755" t="s">
        <v>250</v>
      </c>
      <c r="K755" t="s">
        <v>251</v>
      </c>
      <c r="L755" t="s">
        <v>249</v>
      </c>
      <c r="M755" t="s">
        <v>650</v>
      </c>
      <c r="N755" t="s">
        <v>30</v>
      </c>
    </row>
    <row r="756" spans="1:14">
      <c r="A756">
        <v>33419245</v>
      </c>
      <c r="B756" t="s">
        <v>556</v>
      </c>
      <c r="C756">
        <v>2020</v>
      </c>
      <c r="D756" t="s">
        <v>364</v>
      </c>
      <c r="E756" t="s">
        <v>131</v>
      </c>
      <c r="F756" t="s">
        <v>64</v>
      </c>
      <c r="G756">
        <v>12</v>
      </c>
      <c r="H756">
        <v>12</v>
      </c>
      <c r="I756" s="1">
        <f t="shared" si="11"/>
        <v>1</v>
      </c>
      <c r="J756" t="s">
        <v>365</v>
      </c>
      <c r="K756" t="s">
        <v>113</v>
      </c>
      <c r="L756" t="s">
        <v>364</v>
      </c>
      <c r="M756" t="s">
        <v>612</v>
      </c>
      <c r="N756" t="s">
        <v>50</v>
      </c>
    </row>
    <row r="757" spans="1:14">
      <c r="A757">
        <v>33447876</v>
      </c>
      <c r="B757" t="s">
        <v>506</v>
      </c>
      <c r="C757">
        <v>2020</v>
      </c>
      <c r="D757" t="s">
        <v>15</v>
      </c>
      <c r="E757" t="s">
        <v>77</v>
      </c>
      <c r="F757" t="s">
        <v>64</v>
      </c>
      <c r="G757">
        <v>166</v>
      </c>
      <c r="H757">
        <v>297</v>
      </c>
      <c r="I757" s="1">
        <f t="shared" si="11"/>
        <v>0.558922558922559</v>
      </c>
      <c r="J757" t="s">
        <v>18</v>
      </c>
      <c r="K757" t="s">
        <v>19</v>
      </c>
      <c r="L757" t="s">
        <v>15</v>
      </c>
      <c r="M757" t="s">
        <v>20</v>
      </c>
      <c r="N757" t="s">
        <v>21</v>
      </c>
    </row>
    <row r="758" spans="1:14">
      <c r="A758">
        <v>33450828</v>
      </c>
      <c r="B758" t="s">
        <v>652</v>
      </c>
      <c r="C758">
        <v>2021</v>
      </c>
      <c r="D758" t="s">
        <v>22</v>
      </c>
      <c r="E758" t="s">
        <v>51</v>
      </c>
      <c r="F758" t="s">
        <v>64</v>
      </c>
      <c r="G758">
        <v>50</v>
      </c>
      <c r="H758">
        <v>126</v>
      </c>
      <c r="I758" s="1">
        <f t="shared" si="11"/>
        <v>0.396825396825397</v>
      </c>
      <c r="J758" t="s">
        <v>23</v>
      </c>
      <c r="K758" t="s">
        <v>24</v>
      </c>
      <c r="L758" t="s">
        <v>22</v>
      </c>
      <c r="M758" t="s">
        <v>75</v>
      </c>
      <c r="N758" t="s">
        <v>50</v>
      </c>
    </row>
    <row r="759" spans="1:14">
      <c r="A759">
        <v>33463406</v>
      </c>
      <c r="B759" t="s">
        <v>653</v>
      </c>
      <c r="C759">
        <v>2021</v>
      </c>
      <c r="D759" t="s">
        <v>112</v>
      </c>
      <c r="E759" t="s">
        <v>16</v>
      </c>
      <c r="F759" t="s">
        <v>64</v>
      </c>
      <c r="G759">
        <v>0</v>
      </c>
      <c r="H759">
        <v>1</v>
      </c>
      <c r="I759" s="1">
        <f t="shared" si="11"/>
        <v>0</v>
      </c>
      <c r="J759" t="s">
        <v>80</v>
      </c>
      <c r="K759" t="s">
        <v>113</v>
      </c>
      <c r="L759" t="s">
        <v>112</v>
      </c>
      <c r="M759" t="s">
        <v>96</v>
      </c>
      <c r="N759" t="s">
        <v>21</v>
      </c>
    </row>
    <row r="760" spans="1:14">
      <c r="A760">
        <v>33463406</v>
      </c>
      <c r="B760" t="s">
        <v>653</v>
      </c>
      <c r="C760">
        <v>2021</v>
      </c>
      <c r="D760" t="s">
        <v>22</v>
      </c>
      <c r="E760" t="s">
        <v>16</v>
      </c>
      <c r="F760" t="s">
        <v>64</v>
      </c>
      <c r="G760">
        <v>0</v>
      </c>
      <c r="H760">
        <v>1</v>
      </c>
      <c r="I760" s="1">
        <f t="shared" si="11"/>
        <v>0</v>
      </c>
      <c r="J760" t="s">
        <v>23</v>
      </c>
      <c r="K760" t="s">
        <v>24</v>
      </c>
      <c r="L760" t="s">
        <v>22</v>
      </c>
      <c r="M760" t="s">
        <v>96</v>
      </c>
      <c r="N760" t="s">
        <v>21</v>
      </c>
    </row>
    <row r="761" spans="1:14">
      <c r="A761">
        <v>33463406</v>
      </c>
      <c r="B761" t="s">
        <v>653</v>
      </c>
      <c r="C761">
        <v>2021</v>
      </c>
      <c r="D761" t="s">
        <v>341</v>
      </c>
      <c r="E761" t="s">
        <v>16</v>
      </c>
      <c r="F761" t="s">
        <v>64</v>
      </c>
      <c r="G761">
        <v>0</v>
      </c>
      <c r="H761">
        <v>1</v>
      </c>
      <c r="I761" s="1">
        <f t="shared" si="11"/>
        <v>0</v>
      </c>
      <c r="J761" t="s">
        <v>38</v>
      </c>
      <c r="K761" t="s">
        <v>39</v>
      </c>
      <c r="L761" t="s">
        <v>341</v>
      </c>
      <c r="M761" t="s">
        <v>96</v>
      </c>
      <c r="N761" t="s">
        <v>21</v>
      </c>
    </row>
    <row r="762" spans="1:14">
      <c r="A762">
        <v>33463406</v>
      </c>
      <c r="B762" t="s">
        <v>653</v>
      </c>
      <c r="C762">
        <v>2021</v>
      </c>
      <c r="D762" t="s">
        <v>93</v>
      </c>
      <c r="E762" t="s">
        <v>16</v>
      </c>
      <c r="F762" t="s">
        <v>64</v>
      </c>
      <c r="G762">
        <v>0</v>
      </c>
      <c r="H762">
        <v>1</v>
      </c>
      <c r="I762" s="1">
        <f t="shared" si="11"/>
        <v>0</v>
      </c>
      <c r="J762" t="s">
        <v>94</v>
      </c>
      <c r="K762" t="s">
        <v>95</v>
      </c>
      <c r="L762" t="s">
        <v>93</v>
      </c>
      <c r="M762" t="s">
        <v>96</v>
      </c>
      <c r="N762" t="s">
        <v>21</v>
      </c>
    </row>
    <row r="763" spans="1:14">
      <c r="A763">
        <v>33463406</v>
      </c>
      <c r="B763" t="s">
        <v>653</v>
      </c>
      <c r="C763">
        <v>2021</v>
      </c>
      <c r="D763" t="s">
        <v>45</v>
      </c>
      <c r="E763" t="s">
        <v>16</v>
      </c>
      <c r="F763" t="s">
        <v>64</v>
      </c>
      <c r="G763">
        <v>0</v>
      </c>
      <c r="H763">
        <v>1</v>
      </c>
      <c r="I763" s="1">
        <f t="shared" si="11"/>
        <v>0</v>
      </c>
      <c r="J763" t="s">
        <v>23</v>
      </c>
      <c r="K763" t="s">
        <v>46</v>
      </c>
      <c r="L763" t="s">
        <v>45</v>
      </c>
      <c r="M763" t="s">
        <v>96</v>
      </c>
      <c r="N763" t="s">
        <v>21</v>
      </c>
    </row>
    <row r="764" spans="1:14">
      <c r="A764">
        <v>33496231</v>
      </c>
      <c r="B764" t="s">
        <v>654</v>
      </c>
      <c r="C764">
        <v>2021</v>
      </c>
      <c r="D764" t="s">
        <v>655</v>
      </c>
      <c r="E764" t="s">
        <v>131</v>
      </c>
      <c r="F764" t="s">
        <v>64</v>
      </c>
      <c r="G764">
        <v>3</v>
      </c>
      <c r="H764">
        <v>3</v>
      </c>
      <c r="I764" s="1">
        <f t="shared" si="11"/>
        <v>1</v>
      </c>
      <c r="J764" t="s">
        <v>365</v>
      </c>
      <c r="K764" t="s">
        <v>81</v>
      </c>
      <c r="L764" t="s">
        <v>655</v>
      </c>
      <c r="M764" t="s">
        <v>202</v>
      </c>
      <c r="N764" t="s">
        <v>50</v>
      </c>
    </row>
    <row r="765" spans="1:14">
      <c r="A765">
        <v>33592018</v>
      </c>
      <c r="B765" t="s">
        <v>656</v>
      </c>
      <c r="C765">
        <v>2021</v>
      </c>
      <c r="D765" t="s">
        <v>45</v>
      </c>
      <c r="E765" t="s">
        <v>51</v>
      </c>
      <c r="F765" t="s">
        <v>64</v>
      </c>
      <c r="G765">
        <v>23</v>
      </c>
      <c r="H765">
        <v>162</v>
      </c>
      <c r="I765" s="1">
        <f t="shared" si="11"/>
        <v>0.141975308641975</v>
      </c>
      <c r="J765" t="s">
        <v>23</v>
      </c>
      <c r="K765" t="s">
        <v>46</v>
      </c>
      <c r="L765" t="s">
        <v>45</v>
      </c>
      <c r="M765" t="s">
        <v>96</v>
      </c>
      <c r="N765" t="s">
        <v>21</v>
      </c>
    </row>
    <row r="766" spans="1:14">
      <c r="A766">
        <v>33625897</v>
      </c>
      <c r="B766" t="s">
        <v>657</v>
      </c>
      <c r="C766">
        <v>2021</v>
      </c>
      <c r="D766" t="s">
        <v>124</v>
      </c>
      <c r="E766" t="s">
        <v>77</v>
      </c>
      <c r="F766" t="s">
        <v>54</v>
      </c>
      <c r="G766">
        <v>98</v>
      </c>
      <c r="H766">
        <v>120</v>
      </c>
      <c r="I766" s="1">
        <f t="shared" si="11"/>
        <v>0.816666666666667</v>
      </c>
      <c r="J766" t="s">
        <v>125</v>
      </c>
      <c r="K766" t="s">
        <v>126</v>
      </c>
      <c r="L766" t="s">
        <v>124</v>
      </c>
      <c r="M766" t="s">
        <v>357</v>
      </c>
      <c r="N766" t="s">
        <v>50</v>
      </c>
    </row>
    <row r="767" spans="1:14">
      <c r="A767">
        <v>33630244</v>
      </c>
      <c r="B767" t="s">
        <v>658</v>
      </c>
      <c r="C767">
        <v>2021</v>
      </c>
      <c r="D767" t="s">
        <v>124</v>
      </c>
      <c r="E767" t="s">
        <v>77</v>
      </c>
      <c r="F767" t="s">
        <v>64</v>
      </c>
      <c r="G767">
        <v>42</v>
      </c>
      <c r="H767">
        <v>602</v>
      </c>
      <c r="I767" s="1">
        <f t="shared" si="11"/>
        <v>0.0697674418604651</v>
      </c>
      <c r="J767" t="s">
        <v>125</v>
      </c>
      <c r="K767" t="s">
        <v>126</v>
      </c>
      <c r="L767" t="s">
        <v>124</v>
      </c>
      <c r="M767" t="s">
        <v>75</v>
      </c>
      <c r="N767" t="s">
        <v>50</v>
      </c>
    </row>
    <row r="768" spans="1:14">
      <c r="A768">
        <v>33635970</v>
      </c>
      <c r="B768" t="s">
        <v>659</v>
      </c>
      <c r="C768">
        <v>2021</v>
      </c>
      <c r="D768" t="s">
        <v>57</v>
      </c>
      <c r="E768" t="s">
        <v>77</v>
      </c>
      <c r="F768" t="s">
        <v>28</v>
      </c>
      <c r="G768">
        <v>0</v>
      </c>
      <c r="H768">
        <v>474</v>
      </c>
      <c r="I768" s="1">
        <f t="shared" si="11"/>
        <v>0</v>
      </c>
      <c r="J768" t="s">
        <v>55</v>
      </c>
      <c r="K768" t="s">
        <v>56</v>
      </c>
      <c r="L768" t="s">
        <v>57</v>
      </c>
      <c r="M768" t="s">
        <v>318</v>
      </c>
      <c r="N768" t="s">
        <v>50</v>
      </c>
    </row>
    <row r="769" spans="1:14">
      <c r="A769">
        <v>33635985</v>
      </c>
      <c r="B769" t="s">
        <v>660</v>
      </c>
      <c r="C769">
        <v>2021</v>
      </c>
      <c r="D769" t="s">
        <v>22</v>
      </c>
      <c r="E769" t="s">
        <v>16</v>
      </c>
      <c r="F769" t="s">
        <v>64</v>
      </c>
      <c r="G769">
        <v>735</v>
      </c>
      <c r="H769">
        <v>1385</v>
      </c>
      <c r="I769" s="1">
        <f t="shared" si="11"/>
        <v>0.530685920577617</v>
      </c>
      <c r="J769" t="s">
        <v>23</v>
      </c>
      <c r="K769" t="s">
        <v>24</v>
      </c>
      <c r="L769" t="s">
        <v>22</v>
      </c>
      <c r="M769" t="s">
        <v>96</v>
      </c>
      <c r="N769" t="s">
        <v>21</v>
      </c>
    </row>
    <row r="770" spans="1:14">
      <c r="A770">
        <v>33638128</v>
      </c>
      <c r="B770" t="s">
        <v>661</v>
      </c>
      <c r="C770">
        <v>2021</v>
      </c>
      <c r="D770" t="s">
        <v>185</v>
      </c>
      <c r="E770" t="s">
        <v>77</v>
      </c>
      <c r="F770" t="s">
        <v>64</v>
      </c>
      <c r="G770">
        <v>3</v>
      </c>
      <c r="H770">
        <v>49</v>
      </c>
      <c r="I770" s="1">
        <f t="shared" si="11"/>
        <v>0.0612244897959184</v>
      </c>
      <c r="J770" t="s">
        <v>55</v>
      </c>
      <c r="K770" t="s">
        <v>56</v>
      </c>
      <c r="L770" t="s">
        <v>185</v>
      </c>
      <c r="M770" t="s">
        <v>349</v>
      </c>
      <c r="N770" t="s">
        <v>350</v>
      </c>
    </row>
    <row r="771" spans="1:14">
      <c r="A771">
        <v>33669073</v>
      </c>
      <c r="B771" t="s">
        <v>662</v>
      </c>
      <c r="C771">
        <v>2021</v>
      </c>
      <c r="D771" t="s">
        <v>249</v>
      </c>
      <c r="E771" t="s">
        <v>77</v>
      </c>
      <c r="F771" t="s">
        <v>64</v>
      </c>
      <c r="G771">
        <v>14</v>
      </c>
      <c r="H771">
        <v>14</v>
      </c>
      <c r="I771" s="1">
        <f t="shared" ref="I771:I834" si="12">G771/H771</f>
        <v>1</v>
      </c>
      <c r="J771" t="s">
        <v>250</v>
      </c>
      <c r="K771" t="s">
        <v>251</v>
      </c>
      <c r="L771" t="s">
        <v>249</v>
      </c>
      <c r="M771" t="s">
        <v>49</v>
      </c>
      <c r="N771" t="s">
        <v>50</v>
      </c>
    </row>
    <row r="772" spans="1:14">
      <c r="A772">
        <v>33839921</v>
      </c>
      <c r="B772" t="s">
        <v>451</v>
      </c>
      <c r="C772">
        <v>2021</v>
      </c>
      <c r="D772" t="s">
        <v>426</v>
      </c>
      <c r="E772" t="s">
        <v>77</v>
      </c>
      <c r="F772" t="s">
        <v>64</v>
      </c>
      <c r="G772">
        <v>1</v>
      </c>
      <c r="H772">
        <v>82</v>
      </c>
      <c r="I772" s="1">
        <f t="shared" si="12"/>
        <v>0.0121951219512195</v>
      </c>
      <c r="J772" t="s">
        <v>278</v>
      </c>
      <c r="K772" t="s">
        <v>427</v>
      </c>
      <c r="L772" t="s">
        <v>426</v>
      </c>
      <c r="M772" t="s">
        <v>68</v>
      </c>
      <c r="N772" t="s">
        <v>30</v>
      </c>
    </row>
    <row r="773" spans="1:14">
      <c r="A773">
        <v>33857292</v>
      </c>
      <c r="B773" t="s">
        <v>663</v>
      </c>
      <c r="C773">
        <v>2021</v>
      </c>
      <c r="D773" t="s">
        <v>45</v>
      </c>
      <c r="E773" t="s">
        <v>77</v>
      </c>
      <c r="F773" t="s">
        <v>41</v>
      </c>
      <c r="G773">
        <v>9</v>
      </c>
      <c r="H773">
        <v>80</v>
      </c>
      <c r="I773" s="1">
        <f t="shared" si="12"/>
        <v>0.1125</v>
      </c>
      <c r="J773" t="s">
        <v>23</v>
      </c>
      <c r="K773" t="s">
        <v>46</v>
      </c>
      <c r="L773" t="s">
        <v>45</v>
      </c>
      <c r="M773" t="s">
        <v>349</v>
      </c>
      <c r="N773" t="s">
        <v>350</v>
      </c>
    </row>
    <row r="774" spans="1:14">
      <c r="A774">
        <v>33923799</v>
      </c>
      <c r="B774" t="s">
        <v>664</v>
      </c>
      <c r="C774">
        <v>2021</v>
      </c>
      <c r="D774" t="s">
        <v>277</v>
      </c>
      <c r="E774" t="s">
        <v>51</v>
      </c>
      <c r="F774" t="s">
        <v>64</v>
      </c>
      <c r="G774">
        <v>55</v>
      </c>
      <c r="H774">
        <v>370</v>
      </c>
      <c r="I774" s="1">
        <f t="shared" si="12"/>
        <v>0.148648648648649</v>
      </c>
      <c r="J774" t="s">
        <v>278</v>
      </c>
      <c r="K774" t="s">
        <v>279</v>
      </c>
      <c r="L774" t="s">
        <v>277</v>
      </c>
      <c r="M774" t="s">
        <v>160</v>
      </c>
      <c r="N774" t="s">
        <v>50</v>
      </c>
    </row>
    <row r="775" spans="1:14">
      <c r="A775">
        <v>33987931</v>
      </c>
      <c r="B775" t="s">
        <v>665</v>
      </c>
      <c r="C775">
        <v>2021</v>
      </c>
      <c r="D775" t="s">
        <v>195</v>
      </c>
      <c r="E775" t="s">
        <v>77</v>
      </c>
      <c r="F775" t="s">
        <v>17</v>
      </c>
      <c r="G775">
        <v>96</v>
      </c>
      <c r="H775">
        <v>1396</v>
      </c>
      <c r="I775" s="1">
        <f t="shared" si="12"/>
        <v>0.0687679083094556</v>
      </c>
      <c r="J775" t="s">
        <v>85</v>
      </c>
      <c r="K775" t="s">
        <v>86</v>
      </c>
      <c r="L775" t="s">
        <v>195</v>
      </c>
      <c r="M775" t="s">
        <v>49</v>
      </c>
      <c r="N775" t="s">
        <v>50</v>
      </c>
    </row>
    <row r="776" spans="1:14">
      <c r="A776">
        <v>33999261</v>
      </c>
      <c r="B776" t="s">
        <v>666</v>
      </c>
      <c r="C776">
        <v>2021</v>
      </c>
      <c r="D776" t="s">
        <v>82</v>
      </c>
      <c r="E776" t="s">
        <v>77</v>
      </c>
      <c r="F776" t="s">
        <v>64</v>
      </c>
      <c r="G776">
        <v>11</v>
      </c>
      <c r="H776">
        <v>202</v>
      </c>
      <c r="I776" s="1">
        <f t="shared" si="12"/>
        <v>0.0544554455445545</v>
      </c>
      <c r="J776" t="s">
        <v>38</v>
      </c>
      <c r="K776" t="s">
        <v>39</v>
      </c>
      <c r="L776" t="s">
        <v>82</v>
      </c>
      <c r="M776" t="s">
        <v>151</v>
      </c>
      <c r="N776" t="s">
        <v>30</v>
      </c>
    </row>
    <row r="777" spans="1:14">
      <c r="A777">
        <v>33999261</v>
      </c>
      <c r="B777" t="s">
        <v>666</v>
      </c>
      <c r="C777">
        <v>2021</v>
      </c>
      <c r="D777" t="s">
        <v>667</v>
      </c>
      <c r="E777" t="s">
        <v>77</v>
      </c>
      <c r="F777" t="s">
        <v>64</v>
      </c>
      <c r="G777">
        <v>6</v>
      </c>
      <c r="H777">
        <v>202</v>
      </c>
      <c r="I777" s="1">
        <f t="shared" si="12"/>
        <v>0.0297029702970297</v>
      </c>
      <c r="J777" t="s">
        <v>38</v>
      </c>
      <c r="K777" t="s">
        <v>39</v>
      </c>
      <c r="L777" t="s">
        <v>667</v>
      </c>
      <c r="M777" t="s">
        <v>151</v>
      </c>
      <c r="N777" t="s">
        <v>30</v>
      </c>
    </row>
    <row r="778" spans="1:14">
      <c r="A778">
        <v>33999261</v>
      </c>
      <c r="B778" t="s">
        <v>666</v>
      </c>
      <c r="C778">
        <v>2021</v>
      </c>
      <c r="D778" t="s">
        <v>263</v>
      </c>
      <c r="E778" t="s">
        <v>77</v>
      </c>
      <c r="F778" t="s">
        <v>64</v>
      </c>
      <c r="G778">
        <v>5</v>
      </c>
      <c r="H778">
        <v>202</v>
      </c>
      <c r="I778" s="1">
        <f t="shared" si="12"/>
        <v>0.0247524752475248</v>
      </c>
      <c r="J778" t="s">
        <v>38</v>
      </c>
      <c r="K778" t="s">
        <v>39</v>
      </c>
      <c r="L778" t="s">
        <v>263</v>
      </c>
      <c r="M778" t="s">
        <v>151</v>
      </c>
      <c r="N778" t="s">
        <v>30</v>
      </c>
    </row>
    <row r="779" spans="1:14">
      <c r="A779">
        <v>33999261</v>
      </c>
      <c r="B779" t="s">
        <v>666</v>
      </c>
      <c r="C779">
        <v>2021</v>
      </c>
      <c r="D779" t="s">
        <v>668</v>
      </c>
      <c r="E779" t="s">
        <v>77</v>
      </c>
      <c r="F779" t="s">
        <v>64</v>
      </c>
      <c r="G779">
        <v>5</v>
      </c>
      <c r="H779">
        <v>202</v>
      </c>
      <c r="I779" s="1">
        <f t="shared" si="12"/>
        <v>0.0247524752475248</v>
      </c>
      <c r="J779" t="s">
        <v>38</v>
      </c>
      <c r="K779" t="s">
        <v>39</v>
      </c>
      <c r="L779" t="s">
        <v>668</v>
      </c>
      <c r="M779" t="s">
        <v>151</v>
      </c>
      <c r="N779" t="s">
        <v>30</v>
      </c>
    </row>
    <row r="780" spans="1:14">
      <c r="A780">
        <v>33999261</v>
      </c>
      <c r="B780" t="s">
        <v>666</v>
      </c>
      <c r="C780">
        <v>2021</v>
      </c>
      <c r="D780" t="s">
        <v>669</v>
      </c>
      <c r="E780" t="s">
        <v>77</v>
      </c>
      <c r="F780" t="s">
        <v>64</v>
      </c>
      <c r="G780">
        <v>3</v>
      </c>
      <c r="H780">
        <v>202</v>
      </c>
      <c r="I780" s="1">
        <f t="shared" si="12"/>
        <v>0.0148514851485149</v>
      </c>
      <c r="J780" t="s">
        <v>38</v>
      </c>
      <c r="K780" t="s">
        <v>39</v>
      </c>
      <c r="L780" t="s">
        <v>669</v>
      </c>
      <c r="M780" t="s">
        <v>151</v>
      </c>
      <c r="N780" t="s">
        <v>30</v>
      </c>
    </row>
    <row r="781" spans="1:14">
      <c r="A781">
        <v>33999261</v>
      </c>
      <c r="B781" t="s">
        <v>666</v>
      </c>
      <c r="C781">
        <v>2021</v>
      </c>
      <c r="D781" t="s">
        <v>410</v>
      </c>
      <c r="E781" t="s">
        <v>77</v>
      </c>
      <c r="F781" t="s">
        <v>64</v>
      </c>
      <c r="G781">
        <v>0</v>
      </c>
      <c r="H781">
        <v>202</v>
      </c>
      <c r="I781" s="1">
        <f t="shared" si="12"/>
        <v>0</v>
      </c>
      <c r="J781" t="s">
        <v>38</v>
      </c>
      <c r="K781" t="s">
        <v>39</v>
      </c>
      <c r="L781" t="s">
        <v>410</v>
      </c>
      <c r="M781" t="s">
        <v>151</v>
      </c>
      <c r="N781" t="s">
        <v>30</v>
      </c>
    </row>
    <row r="782" spans="1:14">
      <c r="A782">
        <v>33999261</v>
      </c>
      <c r="B782" t="s">
        <v>666</v>
      </c>
      <c r="C782">
        <v>2021</v>
      </c>
      <c r="D782" t="s">
        <v>670</v>
      </c>
      <c r="E782" t="s">
        <v>77</v>
      </c>
      <c r="F782" t="s">
        <v>64</v>
      </c>
      <c r="G782">
        <v>1</v>
      </c>
      <c r="H782">
        <v>202</v>
      </c>
      <c r="I782" s="1">
        <f t="shared" si="12"/>
        <v>0.00495049504950495</v>
      </c>
      <c r="J782" t="s">
        <v>38</v>
      </c>
      <c r="K782" t="s">
        <v>39</v>
      </c>
      <c r="L782" t="s">
        <v>670</v>
      </c>
      <c r="M782" t="s">
        <v>151</v>
      </c>
      <c r="N782" t="s">
        <v>30</v>
      </c>
    </row>
    <row r="783" spans="1:14">
      <c r="A783">
        <v>34015813</v>
      </c>
      <c r="B783" t="s">
        <v>671</v>
      </c>
      <c r="C783">
        <v>2021</v>
      </c>
      <c r="D783" t="s">
        <v>15</v>
      </c>
      <c r="E783" t="s">
        <v>77</v>
      </c>
      <c r="F783" t="s">
        <v>64</v>
      </c>
      <c r="G783">
        <v>101</v>
      </c>
      <c r="H783">
        <v>236</v>
      </c>
      <c r="I783" s="1">
        <f t="shared" si="12"/>
        <v>0.427966101694915</v>
      </c>
      <c r="J783" t="s">
        <v>18</v>
      </c>
      <c r="K783" t="s">
        <v>19</v>
      </c>
      <c r="L783" t="s">
        <v>15</v>
      </c>
      <c r="M783" t="s">
        <v>78</v>
      </c>
      <c r="N783" t="s">
        <v>50</v>
      </c>
    </row>
    <row r="784" spans="1:14">
      <c r="A784">
        <v>34057302</v>
      </c>
      <c r="B784" t="s">
        <v>672</v>
      </c>
      <c r="C784">
        <v>2021</v>
      </c>
      <c r="D784" t="s">
        <v>537</v>
      </c>
      <c r="E784" t="s">
        <v>77</v>
      </c>
      <c r="F784" t="s">
        <v>64</v>
      </c>
      <c r="G784">
        <v>15</v>
      </c>
      <c r="H784">
        <v>266</v>
      </c>
      <c r="I784" s="1">
        <f t="shared" si="12"/>
        <v>0.056390977443609</v>
      </c>
      <c r="J784" t="s">
        <v>94</v>
      </c>
      <c r="K784" t="s">
        <v>95</v>
      </c>
      <c r="L784" t="s">
        <v>537</v>
      </c>
      <c r="M784" t="s">
        <v>151</v>
      </c>
      <c r="N784" t="s">
        <v>30</v>
      </c>
    </row>
    <row r="785" spans="1:14">
      <c r="A785">
        <v>34064271</v>
      </c>
      <c r="B785" t="s">
        <v>578</v>
      </c>
      <c r="C785">
        <v>2021</v>
      </c>
      <c r="D785" t="s">
        <v>139</v>
      </c>
      <c r="E785" t="s">
        <v>51</v>
      </c>
      <c r="F785" t="s">
        <v>64</v>
      </c>
      <c r="G785">
        <v>0</v>
      </c>
      <c r="H785">
        <v>204</v>
      </c>
      <c r="I785" s="1">
        <f t="shared" si="12"/>
        <v>0</v>
      </c>
      <c r="J785" t="s">
        <v>80</v>
      </c>
      <c r="K785" t="s">
        <v>113</v>
      </c>
      <c r="L785" t="s">
        <v>139</v>
      </c>
      <c r="M785" t="s">
        <v>160</v>
      </c>
      <c r="N785" t="s">
        <v>50</v>
      </c>
    </row>
    <row r="786" spans="1:14">
      <c r="A786">
        <v>34064271</v>
      </c>
      <c r="B786" t="s">
        <v>578</v>
      </c>
      <c r="C786">
        <v>2021</v>
      </c>
      <c r="D786" t="s">
        <v>139</v>
      </c>
      <c r="E786" t="s">
        <v>77</v>
      </c>
      <c r="F786" t="s">
        <v>64</v>
      </c>
      <c r="G786">
        <v>0</v>
      </c>
      <c r="H786">
        <v>153</v>
      </c>
      <c r="I786" s="1">
        <f t="shared" si="12"/>
        <v>0</v>
      </c>
      <c r="J786" t="s">
        <v>80</v>
      </c>
      <c r="K786" t="s">
        <v>113</v>
      </c>
      <c r="L786" t="s">
        <v>139</v>
      </c>
      <c r="M786" t="s">
        <v>160</v>
      </c>
      <c r="N786" t="s">
        <v>50</v>
      </c>
    </row>
    <row r="787" spans="1:14">
      <c r="A787">
        <v>34072499</v>
      </c>
      <c r="B787" t="s">
        <v>673</v>
      </c>
      <c r="C787">
        <v>2021</v>
      </c>
      <c r="D787" t="s">
        <v>115</v>
      </c>
      <c r="E787" t="s">
        <v>27</v>
      </c>
      <c r="F787" t="s">
        <v>64</v>
      </c>
      <c r="G787">
        <v>12</v>
      </c>
      <c r="H787">
        <v>32</v>
      </c>
      <c r="I787" s="1">
        <f t="shared" si="12"/>
        <v>0.375</v>
      </c>
      <c r="J787" t="s">
        <v>38</v>
      </c>
      <c r="K787" t="s">
        <v>39</v>
      </c>
      <c r="L787" t="s">
        <v>115</v>
      </c>
      <c r="M787" t="s">
        <v>29</v>
      </c>
      <c r="N787" t="s">
        <v>30</v>
      </c>
    </row>
    <row r="788" spans="1:14">
      <c r="A788">
        <v>34073023</v>
      </c>
      <c r="B788" t="s">
        <v>674</v>
      </c>
      <c r="C788">
        <v>2021</v>
      </c>
      <c r="D788" t="s">
        <v>537</v>
      </c>
      <c r="E788" t="s">
        <v>77</v>
      </c>
      <c r="F788" t="s">
        <v>64</v>
      </c>
      <c r="G788">
        <v>7</v>
      </c>
      <c r="H788">
        <v>70</v>
      </c>
      <c r="I788" s="1">
        <f t="shared" si="12"/>
        <v>0.1</v>
      </c>
      <c r="J788" t="s">
        <v>94</v>
      </c>
      <c r="K788" t="s">
        <v>95</v>
      </c>
      <c r="L788" t="s">
        <v>537</v>
      </c>
      <c r="M788" t="s">
        <v>349</v>
      </c>
      <c r="N788" t="s">
        <v>350</v>
      </c>
    </row>
    <row r="789" spans="1:14">
      <c r="A789">
        <v>34204315</v>
      </c>
      <c r="B789" t="s">
        <v>675</v>
      </c>
      <c r="C789">
        <v>2021</v>
      </c>
      <c r="D789" t="s">
        <v>124</v>
      </c>
      <c r="E789" t="s">
        <v>77</v>
      </c>
      <c r="F789" t="s">
        <v>28</v>
      </c>
      <c r="G789">
        <v>327</v>
      </c>
      <c r="H789">
        <v>700</v>
      </c>
      <c r="I789" s="1">
        <f t="shared" si="12"/>
        <v>0.467142857142857</v>
      </c>
      <c r="J789" t="s">
        <v>125</v>
      </c>
      <c r="K789" t="s">
        <v>126</v>
      </c>
      <c r="L789" t="s">
        <v>124</v>
      </c>
      <c r="M789" t="s">
        <v>78</v>
      </c>
      <c r="N789" t="s">
        <v>50</v>
      </c>
    </row>
    <row r="790" spans="1:14">
      <c r="A790">
        <v>34218054</v>
      </c>
      <c r="B790" t="s">
        <v>676</v>
      </c>
      <c r="C790">
        <v>2021</v>
      </c>
      <c r="D790" t="s">
        <v>454</v>
      </c>
      <c r="E790" t="s">
        <v>77</v>
      </c>
      <c r="F790" t="s">
        <v>64</v>
      </c>
      <c r="G790">
        <v>1</v>
      </c>
      <c r="H790">
        <v>102</v>
      </c>
      <c r="I790" s="1">
        <f t="shared" si="12"/>
        <v>0.00980392156862745</v>
      </c>
      <c r="J790" t="s">
        <v>60</v>
      </c>
      <c r="K790" t="s">
        <v>455</v>
      </c>
      <c r="L790" t="s">
        <v>454</v>
      </c>
      <c r="M790" t="s">
        <v>68</v>
      </c>
      <c r="N790" t="s">
        <v>30</v>
      </c>
    </row>
    <row r="791" spans="1:14">
      <c r="A791">
        <v>34244861</v>
      </c>
      <c r="B791" t="s">
        <v>677</v>
      </c>
      <c r="C791">
        <v>2021</v>
      </c>
      <c r="D791" t="s">
        <v>678</v>
      </c>
      <c r="E791" t="s">
        <v>77</v>
      </c>
      <c r="F791" t="s">
        <v>64</v>
      </c>
      <c r="G791">
        <v>237</v>
      </c>
      <c r="H791">
        <v>845</v>
      </c>
      <c r="I791" s="1">
        <f t="shared" si="12"/>
        <v>0.280473372781065</v>
      </c>
      <c r="J791" t="s">
        <v>35</v>
      </c>
      <c r="K791" t="s">
        <v>107</v>
      </c>
      <c r="L791" t="s">
        <v>678</v>
      </c>
      <c r="M791" t="s">
        <v>151</v>
      </c>
      <c r="N791" t="s">
        <v>30</v>
      </c>
    </row>
    <row r="792" spans="1:14">
      <c r="A792">
        <v>34244861</v>
      </c>
      <c r="B792" t="s">
        <v>677</v>
      </c>
      <c r="C792">
        <v>2021</v>
      </c>
      <c r="D792" t="s">
        <v>321</v>
      </c>
      <c r="E792" t="s">
        <v>77</v>
      </c>
      <c r="F792" t="s">
        <v>64</v>
      </c>
      <c r="G792">
        <v>90</v>
      </c>
      <c r="H792">
        <v>845</v>
      </c>
      <c r="I792" s="1">
        <f t="shared" si="12"/>
        <v>0.106508875739645</v>
      </c>
      <c r="J792" t="s">
        <v>322</v>
      </c>
      <c r="K792" t="s">
        <v>323</v>
      </c>
      <c r="L792" t="s">
        <v>321</v>
      </c>
      <c r="M792" t="s">
        <v>151</v>
      </c>
      <c r="N792" t="s">
        <v>30</v>
      </c>
    </row>
    <row r="793" spans="1:14">
      <c r="A793">
        <v>34331830</v>
      </c>
      <c r="B793" t="s">
        <v>679</v>
      </c>
      <c r="C793">
        <v>2022</v>
      </c>
      <c r="D793" t="s">
        <v>531</v>
      </c>
      <c r="E793" t="s">
        <v>77</v>
      </c>
      <c r="F793" t="s">
        <v>64</v>
      </c>
      <c r="G793">
        <v>73</v>
      </c>
      <c r="H793">
        <v>595</v>
      </c>
      <c r="I793" s="1">
        <f t="shared" si="12"/>
        <v>0.122689075630252</v>
      </c>
      <c r="J793" t="s">
        <v>55</v>
      </c>
      <c r="K793" t="s">
        <v>56</v>
      </c>
      <c r="L793" t="s">
        <v>531</v>
      </c>
      <c r="M793" t="s">
        <v>258</v>
      </c>
      <c r="N793" t="s">
        <v>50</v>
      </c>
    </row>
    <row r="794" spans="1:14">
      <c r="A794">
        <v>34372492</v>
      </c>
      <c r="B794" t="s">
        <v>253</v>
      </c>
      <c r="C794">
        <v>2021</v>
      </c>
      <c r="D794" t="s">
        <v>230</v>
      </c>
      <c r="E794" t="s">
        <v>167</v>
      </c>
      <c r="F794" t="s">
        <v>64</v>
      </c>
      <c r="G794">
        <v>38</v>
      </c>
      <c r="H794">
        <v>163</v>
      </c>
      <c r="I794" s="1">
        <f t="shared" si="12"/>
        <v>0.233128834355828</v>
      </c>
      <c r="J794" t="s">
        <v>231</v>
      </c>
      <c r="K794" t="s">
        <v>61</v>
      </c>
      <c r="L794" t="s">
        <v>230</v>
      </c>
      <c r="M794" t="s">
        <v>254</v>
      </c>
      <c r="N794" t="s">
        <v>50</v>
      </c>
    </row>
    <row r="795" spans="1:14">
      <c r="A795">
        <v>34372492</v>
      </c>
      <c r="B795" t="s">
        <v>253</v>
      </c>
      <c r="C795">
        <v>2021</v>
      </c>
      <c r="D795" t="s">
        <v>680</v>
      </c>
      <c r="E795" t="s">
        <v>167</v>
      </c>
      <c r="F795" t="s">
        <v>64</v>
      </c>
      <c r="G795">
        <v>1</v>
      </c>
      <c r="H795">
        <v>163</v>
      </c>
      <c r="I795" s="1">
        <f t="shared" si="12"/>
        <v>0.00613496932515337</v>
      </c>
      <c r="J795" t="s">
        <v>231</v>
      </c>
      <c r="K795" t="s">
        <v>61</v>
      </c>
      <c r="L795" t="s">
        <v>680</v>
      </c>
      <c r="M795" t="s">
        <v>254</v>
      </c>
      <c r="N795" t="s">
        <v>50</v>
      </c>
    </row>
    <row r="796" spans="1:14">
      <c r="A796">
        <v>34372492</v>
      </c>
      <c r="B796" t="s">
        <v>253</v>
      </c>
      <c r="C796">
        <v>2021</v>
      </c>
      <c r="D796" t="s">
        <v>681</v>
      </c>
      <c r="E796" t="s">
        <v>167</v>
      </c>
      <c r="F796" t="s">
        <v>64</v>
      </c>
      <c r="G796">
        <v>0</v>
      </c>
      <c r="H796">
        <v>163</v>
      </c>
      <c r="I796" s="1">
        <f t="shared" si="12"/>
        <v>0</v>
      </c>
      <c r="J796" t="s">
        <v>231</v>
      </c>
      <c r="K796" t="s">
        <v>61</v>
      </c>
      <c r="L796" t="s">
        <v>681</v>
      </c>
      <c r="M796" t="s">
        <v>254</v>
      </c>
      <c r="N796" t="s">
        <v>50</v>
      </c>
    </row>
    <row r="797" spans="1:14">
      <c r="A797">
        <v>34372492</v>
      </c>
      <c r="B797" t="s">
        <v>253</v>
      </c>
      <c r="C797">
        <v>2021</v>
      </c>
      <c r="D797" t="s">
        <v>682</v>
      </c>
      <c r="E797" t="s">
        <v>167</v>
      </c>
      <c r="F797" t="s">
        <v>64</v>
      </c>
      <c r="G797">
        <v>0</v>
      </c>
      <c r="H797">
        <v>163</v>
      </c>
      <c r="I797" s="1">
        <f t="shared" si="12"/>
        <v>0</v>
      </c>
      <c r="J797" t="s">
        <v>231</v>
      </c>
      <c r="K797" t="s">
        <v>61</v>
      </c>
      <c r="L797" t="s">
        <v>682</v>
      </c>
      <c r="M797" t="s">
        <v>254</v>
      </c>
      <c r="N797" t="s">
        <v>50</v>
      </c>
    </row>
    <row r="798" spans="1:14">
      <c r="A798">
        <v>34411795</v>
      </c>
      <c r="B798" t="s">
        <v>683</v>
      </c>
      <c r="C798">
        <v>2021</v>
      </c>
      <c r="D798" t="s">
        <v>454</v>
      </c>
      <c r="E798" t="s">
        <v>77</v>
      </c>
      <c r="F798" t="s">
        <v>64</v>
      </c>
      <c r="G798">
        <v>40</v>
      </c>
      <c r="H798">
        <v>768</v>
      </c>
      <c r="I798" s="1">
        <f t="shared" si="12"/>
        <v>0.0520833333333333</v>
      </c>
      <c r="J798" t="s">
        <v>60</v>
      </c>
      <c r="K798" t="s">
        <v>455</v>
      </c>
      <c r="L798" t="s">
        <v>454</v>
      </c>
      <c r="M798" t="s">
        <v>151</v>
      </c>
      <c r="N798" t="s">
        <v>30</v>
      </c>
    </row>
    <row r="799" spans="1:14">
      <c r="A799">
        <v>34525434</v>
      </c>
      <c r="B799" t="s">
        <v>684</v>
      </c>
      <c r="C799">
        <v>2021</v>
      </c>
      <c r="D799" t="s">
        <v>454</v>
      </c>
      <c r="E799" t="s">
        <v>77</v>
      </c>
      <c r="F799" t="s">
        <v>28</v>
      </c>
      <c r="G799">
        <v>0</v>
      </c>
      <c r="H799">
        <v>82</v>
      </c>
      <c r="I799" s="1">
        <f t="shared" si="12"/>
        <v>0</v>
      </c>
      <c r="J799" t="s">
        <v>60</v>
      </c>
      <c r="K799" t="s">
        <v>455</v>
      </c>
      <c r="L799" t="s">
        <v>454</v>
      </c>
      <c r="M799" t="s">
        <v>68</v>
      </c>
      <c r="N799" t="s">
        <v>30</v>
      </c>
    </row>
    <row r="800" spans="1:14">
      <c r="A800">
        <v>34536064</v>
      </c>
      <c r="B800" t="s">
        <v>685</v>
      </c>
      <c r="C800">
        <v>2022</v>
      </c>
      <c r="D800" t="s">
        <v>22</v>
      </c>
      <c r="E800" t="s">
        <v>51</v>
      </c>
      <c r="F800" t="s">
        <v>64</v>
      </c>
      <c r="G800">
        <v>4</v>
      </c>
      <c r="H800">
        <v>5</v>
      </c>
      <c r="I800" s="1">
        <f t="shared" si="12"/>
        <v>0.8</v>
      </c>
      <c r="J800" t="s">
        <v>23</v>
      </c>
      <c r="K800" t="s">
        <v>24</v>
      </c>
      <c r="L800" t="s">
        <v>22</v>
      </c>
      <c r="M800" t="s">
        <v>78</v>
      </c>
      <c r="N800" t="s">
        <v>50</v>
      </c>
    </row>
    <row r="801" spans="1:14">
      <c r="A801">
        <v>34670656</v>
      </c>
      <c r="B801" t="s">
        <v>686</v>
      </c>
      <c r="C801">
        <v>2021</v>
      </c>
      <c r="D801" t="s">
        <v>195</v>
      </c>
      <c r="E801" t="s">
        <v>51</v>
      </c>
      <c r="F801" t="s">
        <v>64</v>
      </c>
      <c r="G801">
        <v>2</v>
      </c>
      <c r="H801">
        <v>2</v>
      </c>
      <c r="I801" s="1">
        <f t="shared" si="12"/>
        <v>1</v>
      </c>
      <c r="J801" t="s">
        <v>85</v>
      </c>
      <c r="K801" t="s">
        <v>86</v>
      </c>
      <c r="L801" t="s">
        <v>195</v>
      </c>
      <c r="M801" t="s">
        <v>108</v>
      </c>
      <c r="N801" t="s">
        <v>50</v>
      </c>
    </row>
    <row r="802" spans="1:14">
      <c r="A802">
        <v>34696399</v>
      </c>
      <c r="B802" t="s">
        <v>504</v>
      </c>
      <c r="C802">
        <v>2021</v>
      </c>
      <c r="D802" t="s">
        <v>687</v>
      </c>
      <c r="E802" t="s">
        <v>51</v>
      </c>
      <c r="F802" t="s">
        <v>64</v>
      </c>
      <c r="G802">
        <v>60</v>
      </c>
      <c r="H802">
        <v>157</v>
      </c>
      <c r="I802" s="1">
        <f t="shared" si="12"/>
        <v>0.382165605095541</v>
      </c>
      <c r="J802" t="s">
        <v>38</v>
      </c>
      <c r="K802" t="s">
        <v>39</v>
      </c>
      <c r="L802" t="s">
        <v>687</v>
      </c>
      <c r="M802" t="s">
        <v>96</v>
      </c>
      <c r="N802" t="s">
        <v>21</v>
      </c>
    </row>
    <row r="803" spans="1:14">
      <c r="A803">
        <v>34696467</v>
      </c>
      <c r="B803" t="s">
        <v>688</v>
      </c>
      <c r="C803">
        <v>2021</v>
      </c>
      <c r="D803" t="s">
        <v>689</v>
      </c>
      <c r="E803" t="s">
        <v>77</v>
      </c>
      <c r="F803" t="s">
        <v>64</v>
      </c>
      <c r="G803">
        <v>2</v>
      </c>
      <c r="H803">
        <v>2</v>
      </c>
      <c r="I803" s="1">
        <f t="shared" si="12"/>
        <v>1</v>
      </c>
      <c r="J803" t="s">
        <v>120</v>
      </c>
      <c r="K803" t="s">
        <v>121</v>
      </c>
      <c r="L803" t="s">
        <v>689</v>
      </c>
      <c r="M803" t="s">
        <v>49</v>
      </c>
      <c r="N803" t="s">
        <v>50</v>
      </c>
    </row>
    <row r="804" spans="1:14">
      <c r="A804">
        <v>34699017</v>
      </c>
      <c r="B804" t="s">
        <v>690</v>
      </c>
      <c r="C804">
        <v>2022</v>
      </c>
      <c r="D804" t="s">
        <v>71</v>
      </c>
      <c r="E804" t="s">
        <v>77</v>
      </c>
      <c r="F804" t="s">
        <v>64</v>
      </c>
      <c r="G804">
        <v>1</v>
      </c>
      <c r="H804">
        <v>40</v>
      </c>
      <c r="I804" s="1">
        <f t="shared" si="12"/>
        <v>0.025</v>
      </c>
      <c r="J804" t="s">
        <v>23</v>
      </c>
      <c r="K804" t="s">
        <v>72</v>
      </c>
      <c r="L804" t="s">
        <v>71</v>
      </c>
      <c r="M804" t="s">
        <v>618</v>
      </c>
      <c r="N804" t="s">
        <v>30</v>
      </c>
    </row>
    <row r="805" spans="1:14">
      <c r="A805">
        <v>34699017</v>
      </c>
      <c r="B805" t="s">
        <v>690</v>
      </c>
      <c r="C805">
        <v>2022</v>
      </c>
      <c r="D805" t="s">
        <v>15</v>
      </c>
      <c r="E805" t="s">
        <v>77</v>
      </c>
      <c r="F805" t="s">
        <v>64</v>
      </c>
      <c r="G805">
        <v>0</v>
      </c>
      <c r="H805">
        <v>40</v>
      </c>
      <c r="I805" s="1">
        <f t="shared" si="12"/>
        <v>0</v>
      </c>
      <c r="J805" t="s">
        <v>18</v>
      </c>
      <c r="K805" t="s">
        <v>19</v>
      </c>
      <c r="L805" t="s">
        <v>15</v>
      </c>
      <c r="M805" t="s">
        <v>618</v>
      </c>
      <c r="N805" t="s">
        <v>30</v>
      </c>
    </row>
    <row r="806" spans="1:14">
      <c r="A806">
        <v>34763307</v>
      </c>
      <c r="B806" t="s">
        <v>691</v>
      </c>
      <c r="C806">
        <v>2022</v>
      </c>
      <c r="D806" t="s">
        <v>692</v>
      </c>
      <c r="E806" t="s">
        <v>77</v>
      </c>
      <c r="F806" t="s">
        <v>28</v>
      </c>
      <c r="G806">
        <v>166</v>
      </c>
      <c r="H806">
        <v>191</v>
      </c>
      <c r="I806" s="1">
        <f t="shared" si="12"/>
        <v>0.869109947643979</v>
      </c>
      <c r="J806" t="s">
        <v>60</v>
      </c>
      <c r="K806" t="s">
        <v>455</v>
      </c>
      <c r="L806" t="s">
        <v>692</v>
      </c>
      <c r="M806" t="s">
        <v>68</v>
      </c>
      <c r="N806" t="s">
        <v>30</v>
      </c>
    </row>
    <row r="807" spans="1:14">
      <c r="A807">
        <v>34763307</v>
      </c>
      <c r="B807" t="s">
        <v>691</v>
      </c>
      <c r="C807">
        <v>2022</v>
      </c>
      <c r="D807" t="s">
        <v>693</v>
      </c>
      <c r="E807" t="s">
        <v>77</v>
      </c>
      <c r="F807" t="s">
        <v>28</v>
      </c>
      <c r="G807">
        <v>2</v>
      </c>
      <c r="H807">
        <v>187</v>
      </c>
      <c r="I807" s="1">
        <f t="shared" si="12"/>
        <v>0.0106951871657754</v>
      </c>
      <c r="J807" t="s">
        <v>60</v>
      </c>
      <c r="K807" t="s">
        <v>694</v>
      </c>
      <c r="L807" t="s">
        <v>693</v>
      </c>
      <c r="M807" t="s">
        <v>68</v>
      </c>
      <c r="N807" t="s">
        <v>30</v>
      </c>
    </row>
    <row r="808" spans="1:14">
      <c r="A808">
        <v>34763307</v>
      </c>
      <c r="B808" t="s">
        <v>691</v>
      </c>
      <c r="C808">
        <v>2022</v>
      </c>
      <c r="D808" t="s">
        <v>176</v>
      </c>
      <c r="E808" t="s">
        <v>77</v>
      </c>
      <c r="F808" t="s">
        <v>28</v>
      </c>
      <c r="G808">
        <v>8</v>
      </c>
      <c r="H808">
        <v>183</v>
      </c>
      <c r="I808" s="1">
        <f t="shared" si="12"/>
        <v>0.0437158469945355</v>
      </c>
      <c r="J808" t="s">
        <v>55</v>
      </c>
      <c r="K808" t="s">
        <v>56</v>
      </c>
      <c r="L808" t="s">
        <v>176</v>
      </c>
      <c r="M808" t="s">
        <v>68</v>
      </c>
      <c r="N808" t="s">
        <v>30</v>
      </c>
    </row>
    <row r="809" spans="1:14">
      <c r="A809">
        <v>34763307</v>
      </c>
      <c r="B809" t="s">
        <v>691</v>
      </c>
      <c r="C809">
        <v>2022</v>
      </c>
      <c r="D809" t="s">
        <v>695</v>
      </c>
      <c r="E809" t="s">
        <v>77</v>
      </c>
      <c r="F809" t="s">
        <v>28</v>
      </c>
      <c r="G809">
        <v>0</v>
      </c>
      <c r="H809">
        <v>191</v>
      </c>
      <c r="I809" s="1">
        <f t="shared" si="12"/>
        <v>0</v>
      </c>
      <c r="J809" t="s">
        <v>278</v>
      </c>
      <c r="K809" t="s">
        <v>279</v>
      </c>
      <c r="L809" t="s">
        <v>695</v>
      </c>
      <c r="M809" t="s">
        <v>68</v>
      </c>
      <c r="N809" t="s">
        <v>30</v>
      </c>
    </row>
    <row r="810" spans="1:14">
      <c r="A810">
        <v>34763307</v>
      </c>
      <c r="B810" t="s">
        <v>691</v>
      </c>
      <c r="C810">
        <v>2022</v>
      </c>
      <c r="D810" t="s">
        <v>53</v>
      </c>
      <c r="E810" t="s">
        <v>77</v>
      </c>
      <c r="F810" t="s">
        <v>28</v>
      </c>
      <c r="G810">
        <v>4</v>
      </c>
      <c r="H810">
        <v>183</v>
      </c>
      <c r="I810" s="1">
        <f t="shared" si="12"/>
        <v>0.0218579234972678</v>
      </c>
      <c r="J810" t="s">
        <v>55</v>
      </c>
      <c r="K810" t="s">
        <v>56</v>
      </c>
      <c r="L810" t="s">
        <v>53</v>
      </c>
      <c r="M810" t="s">
        <v>68</v>
      </c>
      <c r="N810" t="s">
        <v>30</v>
      </c>
    </row>
    <row r="811" spans="1:14">
      <c r="A811">
        <v>34805333</v>
      </c>
      <c r="B811" t="s">
        <v>696</v>
      </c>
      <c r="C811">
        <v>2021</v>
      </c>
      <c r="D811" t="s">
        <v>22</v>
      </c>
      <c r="E811" t="s">
        <v>27</v>
      </c>
      <c r="F811" t="s">
        <v>64</v>
      </c>
      <c r="G811">
        <v>57</v>
      </c>
      <c r="H811">
        <v>101</v>
      </c>
      <c r="I811" s="1">
        <f t="shared" si="12"/>
        <v>0.564356435643564</v>
      </c>
      <c r="J811" t="s">
        <v>23</v>
      </c>
      <c r="K811" t="s">
        <v>24</v>
      </c>
      <c r="L811" t="s">
        <v>22</v>
      </c>
      <c r="M811" t="s">
        <v>29</v>
      </c>
      <c r="N811" t="s">
        <v>30</v>
      </c>
    </row>
    <row r="812" spans="1:14">
      <c r="A812">
        <v>34828029</v>
      </c>
      <c r="B812" t="s">
        <v>697</v>
      </c>
      <c r="C812">
        <v>2021</v>
      </c>
      <c r="D812" t="s">
        <v>15</v>
      </c>
      <c r="E812" t="s">
        <v>77</v>
      </c>
      <c r="F812" t="s">
        <v>28</v>
      </c>
      <c r="G812">
        <v>120</v>
      </c>
      <c r="H812">
        <v>503</v>
      </c>
      <c r="I812" s="1">
        <f t="shared" si="12"/>
        <v>0.238568588469185</v>
      </c>
      <c r="J812" t="s">
        <v>18</v>
      </c>
      <c r="K812" t="s">
        <v>19</v>
      </c>
      <c r="L812" t="s">
        <v>15</v>
      </c>
      <c r="M812" t="s">
        <v>75</v>
      </c>
      <c r="N812" t="s">
        <v>50</v>
      </c>
    </row>
    <row r="813" spans="1:14">
      <c r="A813">
        <v>34854266</v>
      </c>
      <c r="B813" t="s">
        <v>661</v>
      </c>
      <c r="C813">
        <v>2021</v>
      </c>
      <c r="D813" t="s">
        <v>698</v>
      </c>
      <c r="E813" t="s">
        <v>77</v>
      </c>
      <c r="F813" t="s">
        <v>64</v>
      </c>
      <c r="G813">
        <v>48</v>
      </c>
      <c r="H813">
        <v>50</v>
      </c>
      <c r="I813" s="1">
        <f t="shared" si="12"/>
        <v>0.96</v>
      </c>
      <c r="J813" t="s">
        <v>18</v>
      </c>
      <c r="K813" t="s">
        <v>19</v>
      </c>
      <c r="L813" t="s">
        <v>698</v>
      </c>
      <c r="M813" t="s">
        <v>349</v>
      </c>
      <c r="N813" t="s">
        <v>350</v>
      </c>
    </row>
    <row r="814" spans="1:14">
      <c r="A814">
        <v>34854266</v>
      </c>
      <c r="B814" t="s">
        <v>661</v>
      </c>
      <c r="C814">
        <v>2021</v>
      </c>
      <c r="D814" t="s">
        <v>699</v>
      </c>
      <c r="E814" t="s">
        <v>77</v>
      </c>
      <c r="F814" t="s">
        <v>64</v>
      </c>
      <c r="G814">
        <v>28</v>
      </c>
      <c r="H814">
        <v>50</v>
      </c>
      <c r="I814" s="1">
        <f t="shared" si="12"/>
        <v>0.56</v>
      </c>
      <c r="J814" t="s">
        <v>18</v>
      </c>
      <c r="K814" t="s">
        <v>19</v>
      </c>
      <c r="L814" t="s">
        <v>699</v>
      </c>
      <c r="M814" t="s">
        <v>349</v>
      </c>
      <c r="N814" t="s">
        <v>350</v>
      </c>
    </row>
    <row r="815" spans="1:14">
      <c r="A815">
        <v>34854266</v>
      </c>
      <c r="B815" t="s">
        <v>661</v>
      </c>
      <c r="C815">
        <v>2021</v>
      </c>
      <c r="D815" t="s">
        <v>700</v>
      </c>
      <c r="E815" t="s">
        <v>77</v>
      </c>
      <c r="F815" t="s">
        <v>64</v>
      </c>
      <c r="G815">
        <v>22</v>
      </c>
      <c r="H815">
        <v>50</v>
      </c>
      <c r="I815" s="1">
        <f t="shared" si="12"/>
        <v>0.44</v>
      </c>
      <c r="J815" t="s">
        <v>18</v>
      </c>
      <c r="K815" t="s">
        <v>19</v>
      </c>
      <c r="L815" t="s">
        <v>700</v>
      </c>
      <c r="M815" t="s">
        <v>349</v>
      </c>
      <c r="N815" t="s">
        <v>350</v>
      </c>
    </row>
    <row r="816" spans="1:14">
      <c r="A816">
        <v>34902218</v>
      </c>
      <c r="B816" t="s">
        <v>701</v>
      </c>
      <c r="C816">
        <v>2022</v>
      </c>
      <c r="D816" t="s">
        <v>249</v>
      </c>
      <c r="E816" t="s">
        <v>77</v>
      </c>
      <c r="F816" t="s">
        <v>64</v>
      </c>
      <c r="G816">
        <v>80</v>
      </c>
      <c r="H816">
        <v>323</v>
      </c>
      <c r="I816" s="1">
        <f t="shared" si="12"/>
        <v>0.247678018575851</v>
      </c>
      <c r="J816" t="s">
        <v>250</v>
      </c>
      <c r="K816" t="s">
        <v>251</v>
      </c>
      <c r="L816" t="s">
        <v>249</v>
      </c>
      <c r="M816" t="s">
        <v>318</v>
      </c>
      <c r="N816" t="s">
        <v>50</v>
      </c>
    </row>
    <row r="817" spans="1:14">
      <c r="A817">
        <v>34944242</v>
      </c>
      <c r="B817" t="s">
        <v>702</v>
      </c>
      <c r="C817">
        <v>2021</v>
      </c>
      <c r="D817" t="s">
        <v>124</v>
      </c>
      <c r="E817" t="s">
        <v>51</v>
      </c>
      <c r="F817" t="s">
        <v>64</v>
      </c>
      <c r="G817">
        <v>0</v>
      </c>
      <c r="H817">
        <v>94</v>
      </c>
      <c r="I817" s="1">
        <f t="shared" si="12"/>
        <v>0</v>
      </c>
      <c r="J817" t="s">
        <v>125</v>
      </c>
      <c r="K817" t="s">
        <v>126</v>
      </c>
      <c r="L817" t="s">
        <v>124</v>
      </c>
      <c r="M817" t="s">
        <v>75</v>
      </c>
      <c r="N817" t="s">
        <v>50</v>
      </c>
    </row>
    <row r="818" spans="1:14">
      <c r="A818">
        <v>34946122</v>
      </c>
      <c r="B818" t="s">
        <v>688</v>
      </c>
      <c r="C818">
        <v>2021</v>
      </c>
      <c r="D818" t="s">
        <v>22</v>
      </c>
      <c r="E818" t="s">
        <v>51</v>
      </c>
      <c r="F818" t="s">
        <v>64</v>
      </c>
      <c r="G818">
        <v>1</v>
      </c>
      <c r="H818">
        <v>1</v>
      </c>
      <c r="I818" s="1">
        <f t="shared" si="12"/>
        <v>1</v>
      </c>
      <c r="J818" t="s">
        <v>23</v>
      </c>
      <c r="K818" t="s">
        <v>24</v>
      </c>
      <c r="L818" t="s">
        <v>22</v>
      </c>
      <c r="M818" t="s">
        <v>49</v>
      </c>
      <c r="N818" t="s">
        <v>50</v>
      </c>
    </row>
    <row r="819" spans="1:14">
      <c r="A819">
        <v>34946122</v>
      </c>
      <c r="B819" t="s">
        <v>688</v>
      </c>
      <c r="C819">
        <v>2021</v>
      </c>
      <c r="D819" t="s">
        <v>15</v>
      </c>
      <c r="E819" t="s">
        <v>51</v>
      </c>
      <c r="F819" t="s">
        <v>64</v>
      </c>
      <c r="G819">
        <v>1</v>
      </c>
      <c r="H819">
        <v>1</v>
      </c>
      <c r="I819" s="1">
        <f t="shared" si="12"/>
        <v>1</v>
      </c>
      <c r="J819" t="s">
        <v>18</v>
      </c>
      <c r="K819" t="s">
        <v>19</v>
      </c>
      <c r="L819" t="s">
        <v>15</v>
      </c>
      <c r="M819" t="s">
        <v>49</v>
      </c>
      <c r="N819" t="s">
        <v>50</v>
      </c>
    </row>
    <row r="820" spans="1:14">
      <c r="A820">
        <v>34953052</v>
      </c>
      <c r="B820" t="s">
        <v>703</v>
      </c>
      <c r="C820">
        <v>2022</v>
      </c>
      <c r="D820" t="s">
        <v>454</v>
      </c>
      <c r="E820" t="s">
        <v>77</v>
      </c>
      <c r="F820" t="s">
        <v>64</v>
      </c>
      <c r="G820">
        <v>8</v>
      </c>
      <c r="H820">
        <v>105</v>
      </c>
      <c r="I820" s="1">
        <f t="shared" si="12"/>
        <v>0.0761904761904762</v>
      </c>
      <c r="J820" t="s">
        <v>60</v>
      </c>
      <c r="K820" t="s">
        <v>455</v>
      </c>
      <c r="L820" t="s">
        <v>454</v>
      </c>
      <c r="M820" t="s">
        <v>68</v>
      </c>
      <c r="N820" t="s">
        <v>30</v>
      </c>
    </row>
    <row r="821" spans="1:14">
      <c r="A821">
        <v>35080421</v>
      </c>
      <c r="B821" t="s">
        <v>704</v>
      </c>
      <c r="C821">
        <v>2022</v>
      </c>
      <c r="D821" t="s">
        <v>115</v>
      </c>
      <c r="E821" t="s">
        <v>51</v>
      </c>
      <c r="F821" t="s">
        <v>28</v>
      </c>
      <c r="G821">
        <v>33</v>
      </c>
      <c r="H821">
        <v>63</v>
      </c>
      <c r="I821" s="1">
        <f t="shared" si="12"/>
        <v>0.523809523809524</v>
      </c>
      <c r="J821" t="s">
        <v>38</v>
      </c>
      <c r="K821" t="s">
        <v>39</v>
      </c>
      <c r="L821" t="s">
        <v>115</v>
      </c>
      <c r="M821" t="s">
        <v>20</v>
      </c>
      <c r="N821" t="s">
        <v>21</v>
      </c>
    </row>
    <row r="822" spans="1:14">
      <c r="A822">
        <v>35080421</v>
      </c>
      <c r="B822" t="s">
        <v>704</v>
      </c>
      <c r="C822">
        <v>2022</v>
      </c>
      <c r="D822" t="s">
        <v>22</v>
      </c>
      <c r="E822" t="s">
        <v>51</v>
      </c>
      <c r="F822" t="s">
        <v>28</v>
      </c>
      <c r="G822">
        <v>23</v>
      </c>
      <c r="H822">
        <v>63</v>
      </c>
      <c r="I822" s="1">
        <f t="shared" si="12"/>
        <v>0.365079365079365</v>
      </c>
      <c r="J822" t="s">
        <v>23</v>
      </c>
      <c r="K822" t="s">
        <v>24</v>
      </c>
      <c r="L822" t="s">
        <v>22</v>
      </c>
      <c r="M822" t="s">
        <v>20</v>
      </c>
      <c r="N822" t="s">
        <v>21</v>
      </c>
    </row>
    <row r="823" spans="1:14">
      <c r="A823">
        <v>35104340</v>
      </c>
      <c r="B823" t="s">
        <v>705</v>
      </c>
      <c r="C823">
        <v>2022</v>
      </c>
      <c r="D823" t="s">
        <v>706</v>
      </c>
      <c r="E823" t="s">
        <v>16</v>
      </c>
      <c r="F823" t="s">
        <v>64</v>
      </c>
      <c r="G823">
        <v>2</v>
      </c>
      <c r="H823">
        <v>5</v>
      </c>
      <c r="I823" s="1">
        <f t="shared" si="12"/>
        <v>0.4</v>
      </c>
      <c r="J823" t="s">
        <v>43</v>
      </c>
      <c r="K823" t="s">
        <v>44</v>
      </c>
      <c r="L823" t="s">
        <v>706</v>
      </c>
      <c r="M823" t="s">
        <v>96</v>
      </c>
      <c r="N823" t="s">
        <v>21</v>
      </c>
    </row>
    <row r="824" spans="1:14">
      <c r="A824">
        <v>35119222</v>
      </c>
      <c r="B824" t="s">
        <v>707</v>
      </c>
      <c r="C824">
        <v>2022</v>
      </c>
      <c r="D824" t="s">
        <v>65</v>
      </c>
      <c r="E824" t="s">
        <v>167</v>
      </c>
      <c r="F824" t="s">
        <v>64</v>
      </c>
      <c r="G824">
        <v>0</v>
      </c>
      <c r="H824">
        <v>94</v>
      </c>
      <c r="I824" s="1">
        <f t="shared" si="12"/>
        <v>0</v>
      </c>
      <c r="J824" t="s">
        <v>231</v>
      </c>
      <c r="K824" t="s">
        <v>61</v>
      </c>
      <c r="L824" t="s">
        <v>65</v>
      </c>
      <c r="M824" t="s">
        <v>708</v>
      </c>
      <c r="N824" t="s">
        <v>50</v>
      </c>
    </row>
    <row r="825" spans="1:14">
      <c r="A825">
        <v>35169491</v>
      </c>
      <c r="B825" t="s">
        <v>709</v>
      </c>
      <c r="C825">
        <v>2022</v>
      </c>
      <c r="D825" t="s">
        <v>277</v>
      </c>
      <c r="E825" t="s">
        <v>167</v>
      </c>
      <c r="F825" t="s">
        <v>64</v>
      </c>
      <c r="G825">
        <v>0</v>
      </c>
      <c r="H825">
        <v>16</v>
      </c>
      <c r="I825" s="1">
        <f t="shared" si="12"/>
        <v>0</v>
      </c>
      <c r="J825" t="s">
        <v>598</v>
      </c>
      <c r="K825" t="s">
        <v>279</v>
      </c>
      <c r="L825" t="s">
        <v>277</v>
      </c>
      <c r="M825" t="s">
        <v>366</v>
      </c>
      <c r="N825" t="s">
        <v>50</v>
      </c>
    </row>
    <row r="826" spans="1:14">
      <c r="A826">
        <v>35207575</v>
      </c>
      <c r="B826" t="s">
        <v>710</v>
      </c>
      <c r="C826">
        <v>2022</v>
      </c>
      <c r="D826" t="s">
        <v>22</v>
      </c>
      <c r="E826" t="s">
        <v>51</v>
      </c>
      <c r="F826" t="s">
        <v>64</v>
      </c>
      <c r="G826">
        <v>62</v>
      </c>
      <c r="H826">
        <v>219</v>
      </c>
      <c r="I826" s="1">
        <f t="shared" si="12"/>
        <v>0.28310502283105</v>
      </c>
      <c r="J826" t="s">
        <v>23</v>
      </c>
      <c r="K826" t="s">
        <v>24</v>
      </c>
      <c r="L826" t="s">
        <v>22</v>
      </c>
      <c r="M826" t="s">
        <v>199</v>
      </c>
      <c r="N826" t="s">
        <v>50</v>
      </c>
    </row>
    <row r="827" spans="1:14">
      <c r="A827">
        <v>35207575</v>
      </c>
      <c r="B827" t="s">
        <v>710</v>
      </c>
      <c r="C827">
        <v>2022</v>
      </c>
      <c r="D827" t="s">
        <v>22</v>
      </c>
      <c r="E827" t="s">
        <v>16</v>
      </c>
      <c r="F827" t="s">
        <v>64</v>
      </c>
      <c r="G827">
        <v>3</v>
      </c>
      <c r="H827">
        <v>7</v>
      </c>
      <c r="I827" s="1">
        <f t="shared" si="12"/>
        <v>0.428571428571429</v>
      </c>
      <c r="J827" t="s">
        <v>23</v>
      </c>
      <c r="K827" t="s">
        <v>24</v>
      </c>
      <c r="L827" t="s">
        <v>22</v>
      </c>
      <c r="M827" t="s">
        <v>199</v>
      </c>
      <c r="N827" t="s">
        <v>50</v>
      </c>
    </row>
    <row r="828" spans="1:14">
      <c r="A828">
        <v>35208696</v>
      </c>
      <c r="B828" t="s">
        <v>711</v>
      </c>
      <c r="C828">
        <v>2022</v>
      </c>
      <c r="D828" t="s">
        <v>333</v>
      </c>
      <c r="E828" t="s">
        <v>77</v>
      </c>
      <c r="F828" t="s">
        <v>64</v>
      </c>
      <c r="G828">
        <v>11</v>
      </c>
      <c r="H828">
        <v>400</v>
      </c>
      <c r="I828" s="1">
        <f t="shared" si="12"/>
        <v>0.0275</v>
      </c>
      <c r="J828" t="s">
        <v>172</v>
      </c>
      <c r="K828" t="s">
        <v>173</v>
      </c>
      <c r="L828" t="s">
        <v>333</v>
      </c>
      <c r="M828" t="s">
        <v>75</v>
      </c>
      <c r="N828" t="s">
        <v>50</v>
      </c>
    </row>
    <row r="829" spans="1:14">
      <c r="A829">
        <v>35208696</v>
      </c>
      <c r="B829" t="s">
        <v>711</v>
      </c>
      <c r="C829">
        <v>2022</v>
      </c>
      <c r="D829" t="s">
        <v>712</v>
      </c>
      <c r="E829" t="s">
        <v>77</v>
      </c>
      <c r="F829" t="s">
        <v>64</v>
      </c>
      <c r="G829">
        <v>10</v>
      </c>
      <c r="H829">
        <v>400</v>
      </c>
      <c r="I829" s="1">
        <f t="shared" si="12"/>
        <v>0.025</v>
      </c>
      <c r="J829" t="s">
        <v>172</v>
      </c>
      <c r="K829" t="s">
        <v>173</v>
      </c>
      <c r="L829" t="s">
        <v>712</v>
      </c>
      <c r="M829" t="s">
        <v>75</v>
      </c>
      <c r="N829" t="s">
        <v>50</v>
      </c>
    </row>
    <row r="830" spans="1:14">
      <c r="A830">
        <v>35260784</v>
      </c>
      <c r="B830" t="s">
        <v>639</v>
      </c>
      <c r="C830">
        <v>2022</v>
      </c>
      <c r="D830" t="s">
        <v>22</v>
      </c>
      <c r="E830" t="s">
        <v>51</v>
      </c>
      <c r="F830" t="s">
        <v>64</v>
      </c>
      <c r="G830">
        <v>21</v>
      </c>
      <c r="H830">
        <v>24</v>
      </c>
      <c r="I830" s="1">
        <f t="shared" si="12"/>
        <v>0.875</v>
      </c>
      <c r="J830" t="s">
        <v>23</v>
      </c>
      <c r="K830" t="s">
        <v>24</v>
      </c>
      <c r="L830" t="s">
        <v>22</v>
      </c>
      <c r="M830" t="s">
        <v>301</v>
      </c>
      <c r="N830" t="s">
        <v>50</v>
      </c>
    </row>
    <row r="831" spans="1:14">
      <c r="A831">
        <v>35295295</v>
      </c>
      <c r="B831" t="s">
        <v>713</v>
      </c>
      <c r="C831">
        <v>2022</v>
      </c>
      <c r="D831" t="s">
        <v>99</v>
      </c>
      <c r="E831" t="s">
        <v>48</v>
      </c>
      <c r="F831" t="s">
        <v>64</v>
      </c>
      <c r="G831">
        <v>3</v>
      </c>
      <c r="H831">
        <v>7</v>
      </c>
      <c r="I831" s="1">
        <f t="shared" si="12"/>
        <v>0.428571428571429</v>
      </c>
      <c r="J831" t="s">
        <v>38</v>
      </c>
      <c r="K831" t="s">
        <v>39</v>
      </c>
      <c r="L831" t="s">
        <v>99</v>
      </c>
      <c r="M831" t="s">
        <v>29</v>
      </c>
      <c r="N831" t="s">
        <v>30</v>
      </c>
    </row>
    <row r="832" spans="1:14">
      <c r="A832">
        <v>35304824</v>
      </c>
      <c r="B832" t="s">
        <v>714</v>
      </c>
      <c r="C832">
        <v>2022</v>
      </c>
      <c r="D832" t="s">
        <v>715</v>
      </c>
      <c r="E832" t="s">
        <v>77</v>
      </c>
      <c r="F832" t="s">
        <v>28</v>
      </c>
      <c r="G832">
        <v>2</v>
      </c>
      <c r="H832">
        <v>99</v>
      </c>
      <c r="I832" s="1">
        <f t="shared" si="12"/>
        <v>0.0202020202020202</v>
      </c>
      <c r="J832" t="s">
        <v>60</v>
      </c>
      <c r="K832" t="s">
        <v>527</v>
      </c>
      <c r="L832" t="s">
        <v>715</v>
      </c>
      <c r="M832" t="s">
        <v>78</v>
      </c>
      <c r="N832" t="s">
        <v>50</v>
      </c>
    </row>
    <row r="833" spans="1:14">
      <c r="A833">
        <v>35335629</v>
      </c>
      <c r="B833" t="s">
        <v>716</v>
      </c>
      <c r="C833">
        <v>2022</v>
      </c>
      <c r="D833" t="s">
        <v>93</v>
      </c>
      <c r="E833" t="s">
        <v>77</v>
      </c>
      <c r="F833" t="s">
        <v>64</v>
      </c>
      <c r="G833">
        <v>71</v>
      </c>
      <c r="H833">
        <v>95</v>
      </c>
      <c r="I833" s="1">
        <f t="shared" si="12"/>
        <v>0.747368421052632</v>
      </c>
      <c r="J833" t="s">
        <v>94</v>
      </c>
      <c r="K833" t="s">
        <v>95</v>
      </c>
      <c r="L833" t="s">
        <v>93</v>
      </c>
      <c r="M833" t="s">
        <v>146</v>
      </c>
      <c r="N833" t="s">
        <v>134</v>
      </c>
    </row>
    <row r="834" spans="1:14">
      <c r="A834">
        <v>35335629</v>
      </c>
      <c r="B834" t="s">
        <v>716</v>
      </c>
      <c r="C834">
        <v>2022</v>
      </c>
      <c r="D834" t="s">
        <v>700</v>
      </c>
      <c r="E834" t="s">
        <v>77</v>
      </c>
      <c r="F834" t="s">
        <v>64</v>
      </c>
      <c r="G834">
        <v>66</v>
      </c>
      <c r="H834">
        <v>95</v>
      </c>
      <c r="I834" s="1">
        <f t="shared" si="12"/>
        <v>0.694736842105263</v>
      </c>
      <c r="J834" t="s">
        <v>18</v>
      </c>
      <c r="K834" t="s">
        <v>19</v>
      </c>
      <c r="L834" t="s">
        <v>700</v>
      </c>
      <c r="M834" t="s">
        <v>146</v>
      </c>
      <c r="N834" t="s">
        <v>134</v>
      </c>
    </row>
    <row r="835" spans="1:14">
      <c r="A835">
        <v>35335629</v>
      </c>
      <c r="B835" t="s">
        <v>716</v>
      </c>
      <c r="C835">
        <v>2022</v>
      </c>
      <c r="D835" t="s">
        <v>698</v>
      </c>
      <c r="E835" t="s">
        <v>77</v>
      </c>
      <c r="F835" t="s">
        <v>64</v>
      </c>
      <c r="G835">
        <v>10</v>
      </c>
      <c r="H835">
        <v>95</v>
      </c>
      <c r="I835" s="1">
        <f t="shared" ref="I835:I898" si="13">G835/H835</f>
        <v>0.105263157894737</v>
      </c>
      <c r="J835" t="s">
        <v>18</v>
      </c>
      <c r="K835" t="s">
        <v>19</v>
      </c>
      <c r="L835" t="s">
        <v>698</v>
      </c>
      <c r="M835" t="s">
        <v>146</v>
      </c>
      <c r="N835" t="s">
        <v>134</v>
      </c>
    </row>
    <row r="836" spans="1:14">
      <c r="A836">
        <v>35335629</v>
      </c>
      <c r="B836" t="s">
        <v>716</v>
      </c>
      <c r="C836">
        <v>2022</v>
      </c>
      <c r="D836" t="s">
        <v>699</v>
      </c>
      <c r="E836" t="s">
        <v>77</v>
      </c>
      <c r="F836" t="s">
        <v>64</v>
      </c>
      <c r="G836">
        <v>44</v>
      </c>
      <c r="H836">
        <v>95</v>
      </c>
      <c r="I836" s="1">
        <f t="shared" si="13"/>
        <v>0.463157894736842</v>
      </c>
      <c r="J836" t="s">
        <v>18</v>
      </c>
      <c r="K836" t="s">
        <v>19</v>
      </c>
      <c r="L836" t="s">
        <v>699</v>
      </c>
      <c r="M836" t="s">
        <v>146</v>
      </c>
      <c r="N836" t="s">
        <v>134</v>
      </c>
    </row>
    <row r="837" spans="1:14">
      <c r="A837">
        <v>35335629</v>
      </c>
      <c r="B837" t="s">
        <v>716</v>
      </c>
      <c r="C837">
        <v>2022</v>
      </c>
      <c r="D837" t="s">
        <v>537</v>
      </c>
      <c r="E837" t="s">
        <v>77</v>
      </c>
      <c r="F837" t="s">
        <v>64</v>
      </c>
      <c r="G837">
        <v>24</v>
      </c>
      <c r="H837">
        <v>95</v>
      </c>
      <c r="I837" s="1">
        <f t="shared" si="13"/>
        <v>0.252631578947368</v>
      </c>
      <c r="J837" t="s">
        <v>94</v>
      </c>
      <c r="K837" t="s">
        <v>95</v>
      </c>
      <c r="L837" t="s">
        <v>537</v>
      </c>
      <c r="M837" t="s">
        <v>146</v>
      </c>
      <c r="N837" t="s">
        <v>134</v>
      </c>
    </row>
    <row r="838" spans="1:14">
      <c r="A838">
        <v>35336869</v>
      </c>
      <c r="B838" t="s">
        <v>597</v>
      </c>
      <c r="C838">
        <v>2022</v>
      </c>
      <c r="D838" t="s">
        <v>717</v>
      </c>
      <c r="E838" t="s">
        <v>167</v>
      </c>
      <c r="F838" t="s">
        <v>64</v>
      </c>
      <c r="G838">
        <v>5</v>
      </c>
      <c r="H838">
        <v>46</v>
      </c>
      <c r="I838" s="1">
        <f t="shared" si="13"/>
        <v>0.108695652173913</v>
      </c>
      <c r="J838" t="s">
        <v>598</v>
      </c>
      <c r="K838" t="s">
        <v>279</v>
      </c>
      <c r="L838" t="s">
        <v>717</v>
      </c>
      <c r="M838" t="s">
        <v>366</v>
      </c>
      <c r="N838" t="s">
        <v>50</v>
      </c>
    </row>
    <row r="839" spans="1:14">
      <c r="A839">
        <v>35340119</v>
      </c>
      <c r="B839" t="s">
        <v>718</v>
      </c>
      <c r="C839">
        <v>2022</v>
      </c>
      <c r="D839" t="s">
        <v>124</v>
      </c>
      <c r="E839" t="s">
        <v>77</v>
      </c>
      <c r="F839" t="s">
        <v>64</v>
      </c>
      <c r="G839">
        <v>188</v>
      </c>
      <c r="H839">
        <v>1953</v>
      </c>
      <c r="I839" s="1">
        <f t="shared" si="13"/>
        <v>0.0962621607782898</v>
      </c>
      <c r="J839" t="s">
        <v>125</v>
      </c>
      <c r="K839" t="s">
        <v>126</v>
      </c>
      <c r="L839" t="s">
        <v>124</v>
      </c>
      <c r="M839" t="s">
        <v>49</v>
      </c>
      <c r="N839" t="s">
        <v>50</v>
      </c>
    </row>
    <row r="840" spans="1:14">
      <c r="A840">
        <v>35421716</v>
      </c>
      <c r="B840" t="s">
        <v>719</v>
      </c>
      <c r="C840">
        <v>2022</v>
      </c>
      <c r="D840" t="s">
        <v>124</v>
      </c>
      <c r="E840" t="s">
        <v>77</v>
      </c>
      <c r="F840" t="s">
        <v>64</v>
      </c>
      <c r="G840">
        <v>19</v>
      </c>
      <c r="H840">
        <v>86</v>
      </c>
      <c r="I840" s="1">
        <f t="shared" si="13"/>
        <v>0.22093023255814</v>
      </c>
      <c r="J840" t="s">
        <v>125</v>
      </c>
      <c r="K840" t="s">
        <v>126</v>
      </c>
      <c r="L840" t="s">
        <v>124</v>
      </c>
      <c r="M840" t="s">
        <v>75</v>
      </c>
      <c r="N840" t="s">
        <v>50</v>
      </c>
    </row>
    <row r="841" spans="1:14">
      <c r="A841">
        <v>35433913</v>
      </c>
      <c r="B841" t="s">
        <v>644</v>
      </c>
      <c r="C841">
        <v>2022</v>
      </c>
      <c r="D841" t="s">
        <v>22</v>
      </c>
      <c r="E841" t="s">
        <v>51</v>
      </c>
      <c r="F841" t="s">
        <v>64</v>
      </c>
      <c r="G841">
        <v>0</v>
      </c>
      <c r="H841">
        <v>232</v>
      </c>
      <c r="I841" s="1">
        <f t="shared" si="13"/>
        <v>0</v>
      </c>
      <c r="J841" t="s">
        <v>23</v>
      </c>
      <c r="K841" t="s">
        <v>24</v>
      </c>
      <c r="L841" t="s">
        <v>22</v>
      </c>
      <c r="M841" t="s">
        <v>75</v>
      </c>
      <c r="N841" t="s">
        <v>50</v>
      </c>
    </row>
    <row r="842" spans="1:14">
      <c r="A842">
        <v>35433913</v>
      </c>
      <c r="B842" t="s">
        <v>644</v>
      </c>
      <c r="C842">
        <v>2022</v>
      </c>
      <c r="D842" t="s">
        <v>491</v>
      </c>
      <c r="E842" t="s">
        <v>51</v>
      </c>
      <c r="F842" t="s">
        <v>64</v>
      </c>
      <c r="G842">
        <v>0</v>
      </c>
      <c r="H842">
        <v>232</v>
      </c>
      <c r="I842" s="1">
        <f t="shared" si="13"/>
        <v>0</v>
      </c>
      <c r="J842" t="s">
        <v>94</v>
      </c>
      <c r="K842" t="s">
        <v>95</v>
      </c>
      <c r="L842" t="s">
        <v>491</v>
      </c>
      <c r="M842" t="s">
        <v>75</v>
      </c>
      <c r="N842" t="s">
        <v>50</v>
      </c>
    </row>
    <row r="843" spans="1:14">
      <c r="A843">
        <v>35433913</v>
      </c>
      <c r="B843" t="s">
        <v>644</v>
      </c>
      <c r="C843">
        <v>2022</v>
      </c>
      <c r="D843" t="s">
        <v>110</v>
      </c>
      <c r="E843" t="s">
        <v>51</v>
      </c>
      <c r="F843" t="s">
        <v>64</v>
      </c>
      <c r="G843">
        <v>4</v>
      </c>
      <c r="H843">
        <v>232</v>
      </c>
      <c r="I843" s="1">
        <f t="shared" si="13"/>
        <v>0.0172413793103448</v>
      </c>
      <c r="J843" t="s">
        <v>43</v>
      </c>
      <c r="K843" t="s">
        <v>44</v>
      </c>
      <c r="L843" t="s">
        <v>110</v>
      </c>
      <c r="M843" t="s">
        <v>75</v>
      </c>
      <c r="N843" t="s">
        <v>50</v>
      </c>
    </row>
    <row r="844" spans="1:14">
      <c r="A844">
        <v>35454295</v>
      </c>
      <c r="B844" t="s">
        <v>720</v>
      </c>
      <c r="C844">
        <v>2022</v>
      </c>
      <c r="D844" t="s">
        <v>22</v>
      </c>
      <c r="E844" t="s">
        <v>51</v>
      </c>
      <c r="F844" t="s">
        <v>64</v>
      </c>
      <c r="G844">
        <v>164</v>
      </c>
      <c r="H844">
        <v>281</v>
      </c>
      <c r="I844" s="1">
        <f t="shared" si="13"/>
        <v>0.583629893238434</v>
      </c>
      <c r="J844" t="s">
        <v>23</v>
      </c>
      <c r="K844" t="s">
        <v>24</v>
      </c>
      <c r="L844" t="s">
        <v>22</v>
      </c>
      <c r="M844" t="s">
        <v>75</v>
      </c>
      <c r="N844" t="s">
        <v>50</v>
      </c>
    </row>
    <row r="845" spans="1:14">
      <c r="A845">
        <v>35466116</v>
      </c>
      <c r="B845" t="s">
        <v>721</v>
      </c>
      <c r="C845">
        <v>2022</v>
      </c>
      <c r="D845" t="s">
        <v>79</v>
      </c>
      <c r="E845" t="s">
        <v>77</v>
      </c>
      <c r="F845" t="s">
        <v>28</v>
      </c>
      <c r="G845">
        <v>0</v>
      </c>
      <c r="H845">
        <v>140</v>
      </c>
      <c r="I845" s="1">
        <f t="shared" si="13"/>
        <v>0</v>
      </c>
      <c r="J845" t="s">
        <v>80</v>
      </c>
      <c r="K845" t="s">
        <v>81</v>
      </c>
      <c r="L845" t="s">
        <v>79</v>
      </c>
      <c r="M845" t="s">
        <v>68</v>
      </c>
      <c r="N845" t="s">
        <v>30</v>
      </c>
    </row>
    <row r="846" spans="1:14">
      <c r="A846">
        <v>35466116</v>
      </c>
      <c r="B846" t="s">
        <v>721</v>
      </c>
      <c r="C846">
        <v>2022</v>
      </c>
      <c r="D846" t="s">
        <v>15</v>
      </c>
      <c r="E846" t="s">
        <v>77</v>
      </c>
      <c r="F846" t="s">
        <v>28</v>
      </c>
      <c r="G846">
        <v>0</v>
      </c>
      <c r="H846">
        <v>168</v>
      </c>
      <c r="I846" s="1">
        <f t="shared" si="13"/>
        <v>0</v>
      </c>
      <c r="J846" t="s">
        <v>18</v>
      </c>
      <c r="K846" t="s">
        <v>19</v>
      </c>
      <c r="L846" t="s">
        <v>15</v>
      </c>
      <c r="M846" t="s">
        <v>68</v>
      </c>
      <c r="N846" t="s">
        <v>30</v>
      </c>
    </row>
    <row r="847" spans="1:14">
      <c r="A847">
        <v>35581286</v>
      </c>
      <c r="B847" t="s">
        <v>722</v>
      </c>
      <c r="C847">
        <v>2022</v>
      </c>
      <c r="D847" t="s">
        <v>15</v>
      </c>
      <c r="E847" t="s">
        <v>77</v>
      </c>
      <c r="F847" t="s">
        <v>28</v>
      </c>
      <c r="G847">
        <v>42</v>
      </c>
      <c r="H847">
        <v>96</v>
      </c>
      <c r="I847" s="1">
        <f t="shared" si="13"/>
        <v>0.4375</v>
      </c>
      <c r="J847" t="s">
        <v>18</v>
      </c>
      <c r="K847" t="s">
        <v>19</v>
      </c>
      <c r="L847" t="s">
        <v>15</v>
      </c>
      <c r="M847" t="s">
        <v>75</v>
      </c>
      <c r="N847" t="s">
        <v>50</v>
      </c>
    </row>
    <row r="848" spans="1:14">
      <c r="A848">
        <v>35632666</v>
      </c>
      <c r="B848" t="s">
        <v>723</v>
      </c>
      <c r="C848">
        <v>2022</v>
      </c>
      <c r="D848" t="s">
        <v>93</v>
      </c>
      <c r="E848" t="s">
        <v>77</v>
      </c>
      <c r="F848" t="s">
        <v>64</v>
      </c>
      <c r="G848">
        <v>34</v>
      </c>
      <c r="H848">
        <v>107</v>
      </c>
      <c r="I848" s="1">
        <f t="shared" si="13"/>
        <v>0.317757009345794</v>
      </c>
      <c r="J848" t="s">
        <v>94</v>
      </c>
      <c r="K848" t="s">
        <v>95</v>
      </c>
      <c r="L848" t="s">
        <v>93</v>
      </c>
      <c r="M848" t="s">
        <v>512</v>
      </c>
      <c r="N848" t="s">
        <v>50</v>
      </c>
    </row>
    <row r="849" spans="1:14">
      <c r="A849">
        <v>35675975</v>
      </c>
      <c r="B849" t="s">
        <v>724</v>
      </c>
      <c r="C849">
        <v>2022</v>
      </c>
      <c r="D849" t="s">
        <v>124</v>
      </c>
      <c r="E849" t="s">
        <v>77</v>
      </c>
      <c r="F849" t="s">
        <v>64</v>
      </c>
      <c r="G849">
        <v>294</v>
      </c>
      <c r="H849">
        <v>2375</v>
      </c>
      <c r="I849" s="1">
        <f t="shared" si="13"/>
        <v>0.123789473684211</v>
      </c>
      <c r="J849" t="s">
        <v>125</v>
      </c>
      <c r="K849" t="s">
        <v>126</v>
      </c>
      <c r="L849" t="s">
        <v>124</v>
      </c>
      <c r="M849" t="s">
        <v>68</v>
      </c>
      <c r="N849" t="s">
        <v>30</v>
      </c>
    </row>
    <row r="850" spans="1:14">
      <c r="A850">
        <v>35675975</v>
      </c>
      <c r="B850" t="s">
        <v>724</v>
      </c>
      <c r="C850">
        <v>2022</v>
      </c>
      <c r="D850" t="s">
        <v>124</v>
      </c>
      <c r="E850" t="s">
        <v>27</v>
      </c>
      <c r="F850" t="s">
        <v>64</v>
      </c>
      <c r="G850">
        <v>0</v>
      </c>
      <c r="H850">
        <v>36</v>
      </c>
      <c r="I850" s="1">
        <f t="shared" si="13"/>
        <v>0</v>
      </c>
      <c r="J850" t="s">
        <v>125</v>
      </c>
      <c r="K850" t="s">
        <v>126</v>
      </c>
      <c r="L850" t="s">
        <v>124</v>
      </c>
      <c r="M850" t="s">
        <v>68</v>
      </c>
      <c r="N850" t="s">
        <v>30</v>
      </c>
    </row>
    <row r="851" spans="1:14">
      <c r="A851">
        <v>35675975</v>
      </c>
      <c r="B851" t="s">
        <v>724</v>
      </c>
      <c r="C851">
        <v>2022</v>
      </c>
      <c r="D851" t="s">
        <v>124</v>
      </c>
      <c r="E851" t="s">
        <v>48</v>
      </c>
      <c r="F851" t="s">
        <v>64</v>
      </c>
      <c r="G851">
        <v>0</v>
      </c>
      <c r="H851">
        <v>115</v>
      </c>
      <c r="I851" s="1">
        <f t="shared" si="13"/>
        <v>0</v>
      </c>
      <c r="J851" t="s">
        <v>125</v>
      </c>
      <c r="K851" t="s">
        <v>126</v>
      </c>
      <c r="L851" t="s">
        <v>124</v>
      </c>
      <c r="M851" t="s">
        <v>68</v>
      </c>
      <c r="N851" t="s">
        <v>30</v>
      </c>
    </row>
    <row r="852" spans="1:14">
      <c r="A852">
        <v>35675975</v>
      </c>
      <c r="B852" t="s">
        <v>724</v>
      </c>
      <c r="C852">
        <v>2022</v>
      </c>
      <c r="D852" t="s">
        <v>124</v>
      </c>
      <c r="E852" t="s">
        <v>51</v>
      </c>
      <c r="F852" t="s">
        <v>64</v>
      </c>
      <c r="G852">
        <v>0</v>
      </c>
      <c r="H852">
        <v>4</v>
      </c>
      <c r="I852" s="1">
        <f t="shared" si="13"/>
        <v>0</v>
      </c>
      <c r="J852" t="s">
        <v>125</v>
      </c>
      <c r="K852" t="s">
        <v>126</v>
      </c>
      <c r="L852" t="s">
        <v>124</v>
      </c>
      <c r="M852" t="s">
        <v>68</v>
      </c>
      <c r="N852" t="s">
        <v>30</v>
      </c>
    </row>
    <row r="853" spans="1:14">
      <c r="A853">
        <v>35675975</v>
      </c>
      <c r="B853" t="s">
        <v>724</v>
      </c>
      <c r="C853">
        <v>2022</v>
      </c>
      <c r="D853" t="s">
        <v>124</v>
      </c>
      <c r="E853" t="s">
        <v>16</v>
      </c>
      <c r="F853" t="s">
        <v>64</v>
      </c>
      <c r="G853">
        <v>0</v>
      </c>
      <c r="H853">
        <v>275</v>
      </c>
      <c r="I853" s="1">
        <f t="shared" si="13"/>
        <v>0</v>
      </c>
      <c r="J853" t="s">
        <v>125</v>
      </c>
      <c r="K853" t="s">
        <v>126</v>
      </c>
      <c r="L853" t="s">
        <v>124</v>
      </c>
      <c r="M853" t="s">
        <v>68</v>
      </c>
      <c r="N853" t="s">
        <v>30</v>
      </c>
    </row>
    <row r="854" spans="1:14">
      <c r="A854">
        <v>35678772</v>
      </c>
      <c r="B854" t="s">
        <v>725</v>
      </c>
      <c r="C854">
        <v>2022</v>
      </c>
      <c r="D854" t="s">
        <v>124</v>
      </c>
      <c r="E854" t="s">
        <v>77</v>
      </c>
      <c r="F854" t="s">
        <v>64</v>
      </c>
      <c r="G854">
        <v>13</v>
      </c>
      <c r="H854">
        <v>222</v>
      </c>
      <c r="I854" s="1">
        <f t="shared" si="13"/>
        <v>0.0585585585585586</v>
      </c>
      <c r="J854" t="s">
        <v>125</v>
      </c>
      <c r="K854" t="s">
        <v>126</v>
      </c>
      <c r="L854" t="s">
        <v>124</v>
      </c>
      <c r="M854" t="s">
        <v>49</v>
      </c>
      <c r="N854" t="s">
        <v>50</v>
      </c>
    </row>
    <row r="855" spans="1:14">
      <c r="A855">
        <v>35717589</v>
      </c>
      <c r="B855" t="s">
        <v>726</v>
      </c>
      <c r="C855">
        <v>2022</v>
      </c>
      <c r="D855" t="s">
        <v>124</v>
      </c>
      <c r="E855" t="s">
        <v>77</v>
      </c>
      <c r="F855" t="s">
        <v>64</v>
      </c>
      <c r="G855">
        <v>9</v>
      </c>
      <c r="H855">
        <v>302</v>
      </c>
      <c r="I855" s="1">
        <f t="shared" si="13"/>
        <v>0.0298013245033113</v>
      </c>
      <c r="J855" t="s">
        <v>125</v>
      </c>
      <c r="K855" t="s">
        <v>126</v>
      </c>
      <c r="L855" t="s">
        <v>124</v>
      </c>
      <c r="M855" t="s">
        <v>29</v>
      </c>
      <c r="N855" t="s">
        <v>30</v>
      </c>
    </row>
    <row r="856" spans="1:14">
      <c r="A856">
        <v>35739929</v>
      </c>
      <c r="B856" t="s">
        <v>727</v>
      </c>
      <c r="C856">
        <v>2022</v>
      </c>
      <c r="D856" t="s">
        <v>195</v>
      </c>
      <c r="E856" t="s">
        <v>77</v>
      </c>
      <c r="F856" t="s">
        <v>64</v>
      </c>
      <c r="G856">
        <v>17</v>
      </c>
      <c r="H856">
        <v>4605</v>
      </c>
      <c r="I856" s="1">
        <f t="shared" si="13"/>
        <v>0.00369163952225841</v>
      </c>
      <c r="J856" t="s">
        <v>85</v>
      </c>
      <c r="K856" t="s">
        <v>86</v>
      </c>
      <c r="L856" t="s">
        <v>195</v>
      </c>
      <c r="M856" t="s">
        <v>75</v>
      </c>
      <c r="N856" t="s">
        <v>50</v>
      </c>
    </row>
    <row r="857" spans="1:14">
      <c r="A857">
        <v>35769892</v>
      </c>
      <c r="B857" t="s">
        <v>728</v>
      </c>
      <c r="C857">
        <v>2022</v>
      </c>
      <c r="D857" t="s">
        <v>112</v>
      </c>
      <c r="E857" t="s">
        <v>48</v>
      </c>
      <c r="F857" t="s">
        <v>64</v>
      </c>
      <c r="G857">
        <v>8</v>
      </c>
      <c r="H857">
        <v>15</v>
      </c>
      <c r="I857" s="1">
        <f t="shared" si="13"/>
        <v>0.533333333333333</v>
      </c>
      <c r="J857" t="s">
        <v>80</v>
      </c>
      <c r="K857" t="s">
        <v>113</v>
      </c>
      <c r="L857" t="s">
        <v>112</v>
      </c>
      <c r="M857" t="s">
        <v>29</v>
      </c>
      <c r="N857" t="s">
        <v>30</v>
      </c>
    </row>
    <row r="858" spans="1:14">
      <c r="A858">
        <v>35793949</v>
      </c>
      <c r="B858" t="s">
        <v>729</v>
      </c>
      <c r="C858">
        <v>2022</v>
      </c>
      <c r="D858" t="s">
        <v>454</v>
      </c>
      <c r="E858" t="s">
        <v>77</v>
      </c>
      <c r="F858" t="s">
        <v>17</v>
      </c>
      <c r="G858">
        <v>199</v>
      </c>
      <c r="H858">
        <v>517</v>
      </c>
      <c r="I858" s="1">
        <f t="shared" si="13"/>
        <v>0.384912959381044</v>
      </c>
      <c r="J858" t="s">
        <v>60</v>
      </c>
      <c r="K858" t="s">
        <v>455</v>
      </c>
      <c r="L858" t="s">
        <v>454</v>
      </c>
      <c r="M858" t="s">
        <v>68</v>
      </c>
      <c r="N858" t="s">
        <v>30</v>
      </c>
    </row>
    <row r="859" spans="1:14">
      <c r="A859">
        <v>35795295</v>
      </c>
      <c r="B859" t="s">
        <v>730</v>
      </c>
      <c r="C859">
        <v>2022</v>
      </c>
      <c r="D859" t="s">
        <v>731</v>
      </c>
      <c r="E859" t="s">
        <v>27</v>
      </c>
      <c r="F859" t="s">
        <v>64</v>
      </c>
      <c r="G859">
        <v>1</v>
      </c>
      <c r="H859">
        <v>73</v>
      </c>
      <c r="I859" s="1">
        <f t="shared" si="13"/>
        <v>0.0136986301369863</v>
      </c>
      <c r="J859" t="s">
        <v>80</v>
      </c>
      <c r="K859" t="s">
        <v>113</v>
      </c>
      <c r="L859" t="s">
        <v>731</v>
      </c>
      <c r="M859" t="s">
        <v>29</v>
      </c>
      <c r="N859" t="s">
        <v>30</v>
      </c>
    </row>
    <row r="860" spans="1:14">
      <c r="A860">
        <v>35795462</v>
      </c>
      <c r="B860" t="s">
        <v>732</v>
      </c>
      <c r="C860">
        <v>2022</v>
      </c>
      <c r="D860" t="s">
        <v>124</v>
      </c>
      <c r="E860" t="s">
        <v>77</v>
      </c>
      <c r="F860" t="s">
        <v>64</v>
      </c>
      <c r="G860">
        <v>8</v>
      </c>
      <c r="H860">
        <v>156</v>
      </c>
      <c r="I860" s="1">
        <f t="shared" si="13"/>
        <v>0.0512820512820513</v>
      </c>
      <c r="J860" t="s">
        <v>125</v>
      </c>
      <c r="K860" t="s">
        <v>126</v>
      </c>
      <c r="L860" t="s">
        <v>124</v>
      </c>
      <c r="M860" t="s">
        <v>75</v>
      </c>
      <c r="N860" t="s">
        <v>50</v>
      </c>
    </row>
    <row r="861" spans="1:14">
      <c r="A861">
        <v>35804025</v>
      </c>
      <c r="B861" t="s">
        <v>733</v>
      </c>
      <c r="C861">
        <v>2022</v>
      </c>
      <c r="D861" t="s">
        <v>734</v>
      </c>
      <c r="E861" t="s">
        <v>77</v>
      </c>
      <c r="F861" t="s">
        <v>64</v>
      </c>
      <c r="G861">
        <v>19</v>
      </c>
      <c r="H861">
        <v>310</v>
      </c>
      <c r="I861" s="1">
        <f t="shared" si="13"/>
        <v>0.0612903225806452</v>
      </c>
      <c r="J861" t="s">
        <v>55</v>
      </c>
      <c r="K861" t="s">
        <v>56</v>
      </c>
      <c r="L861" t="s">
        <v>734</v>
      </c>
      <c r="M861" t="s">
        <v>75</v>
      </c>
      <c r="N861" t="s">
        <v>50</v>
      </c>
    </row>
    <row r="862" spans="1:14">
      <c r="A862">
        <v>35809462</v>
      </c>
      <c r="B862" t="s">
        <v>735</v>
      </c>
      <c r="C862">
        <v>2022</v>
      </c>
      <c r="D862" t="s">
        <v>195</v>
      </c>
      <c r="E862" t="s">
        <v>77</v>
      </c>
      <c r="F862" t="s">
        <v>64</v>
      </c>
      <c r="G862">
        <v>0</v>
      </c>
      <c r="H862">
        <v>80</v>
      </c>
      <c r="I862" s="1">
        <f t="shared" si="13"/>
        <v>0</v>
      </c>
      <c r="J862" t="s">
        <v>85</v>
      </c>
      <c r="K862" t="s">
        <v>86</v>
      </c>
      <c r="L862" t="s">
        <v>195</v>
      </c>
      <c r="M862" t="s">
        <v>349</v>
      </c>
      <c r="N862" t="s">
        <v>350</v>
      </c>
    </row>
    <row r="863" spans="1:14">
      <c r="A863">
        <v>35809462</v>
      </c>
      <c r="B863" t="s">
        <v>735</v>
      </c>
      <c r="C863">
        <v>2022</v>
      </c>
      <c r="D863" t="s">
        <v>93</v>
      </c>
      <c r="E863" t="s">
        <v>77</v>
      </c>
      <c r="F863" t="s">
        <v>64</v>
      </c>
      <c r="G863">
        <v>2</v>
      </c>
      <c r="H863">
        <v>80</v>
      </c>
      <c r="I863" s="1">
        <f t="shared" si="13"/>
        <v>0.025</v>
      </c>
      <c r="J863" t="s">
        <v>94</v>
      </c>
      <c r="K863" t="s">
        <v>95</v>
      </c>
      <c r="L863" t="s">
        <v>93</v>
      </c>
      <c r="M863" t="s">
        <v>349</v>
      </c>
      <c r="N863" t="s">
        <v>350</v>
      </c>
    </row>
    <row r="864" spans="1:14">
      <c r="A864">
        <v>35809462</v>
      </c>
      <c r="B864" t="s">
        <v>735</v>
      </c>
      <c r="C864">
        <v>2022</v>
      </c>
      <c r="D864" t="s">
        <v>333</v>
      </c>
      <c r="E864" t="s">
        <v>77</v>
      </c>
      <c r="F864" t="s">
        <v>64</v>
      </c>
      <c r="G864">
        <v>43</v>
      </c>
      <c r="H864">
        <v>80</v>
      </c>
      <c r="I864" s="1">
        <f t="shared" si="13"/>
        <v>0.5375</v>
      </c>
      <c r="J864" t="s">
        <v>172</v>
      </c>
      <c r="K864" t="s">
        <v>173</v>
      </c>
      <c r="L864" t="s">
        <v>333</v>
      </c>
      <c r="M864" t="s">
        <v>349</v>
      </c>
      <c r="N864" t="s">
        <v>350</v>
      </c>
    </row>
    <row r="865" spans="1:14">
      <c r="A865">
        <v>35809462</v>
      </c>
      <c r="B865" t="s">
        <v>735</v>
      </c>
      <c r="C865">
        <v>2022</v>
      </c>
      <c r="D865" t="s">
        <v>332</v>
      </c>
      <c r="E865" t="s">
        <v>77</v>
      </c>
      <c r="F865" t="s">
        <v>64</v>
      </c>
      <c r="G865">
        <v>4</v>
      </c>
      <c r="H865">
        <v>80</v>
      </c>
      <c r="I865" s="1">
        <f t="shared" si="13"/>
        <v>0.05</v>
      </c>
      <c r="J865" t="s">
        <v>172</v>
      </c>
      <c r="K865" t="s">
        <v>173</v>
      </c>
      <c r="L865" t="s">
        <v>332</v>
      </c>
      <c r="M865" t="s">
        <v>349</v>
      </c>
      <c r="N865" t="s">
        <v>350</v>
      </c>
    </row>
    <row r="866" spans="1:14">
      <c r="A866">
        <v>35883373</v>
      </c>
      <c r="B866" t="s">
        <v>736</v>
      </c>
      <c r="C866">
        <v>2022</v>
      </c>
      <c r="D866" t="s">
        <v>115</v>
      </c>
      <c r="E866" t="s">
        <v>51</v>
      </c>
      <c r="F866" t="s">
        <v>64</v>
      </c>
      <c r="G866">
        <v>0</v>
      </c>
      <c r="H866">
        <v>3</v>
      </c>
      <c r="I866" s="1">
        <f t="shared" si="13"/>
        <v>0</v>
      </c>
      <c r="J866" t="s">
        <v>38</v>
      </c>
      <c r="K866" t="s">
        <v>39</v>
      </c>
      <c r="L866" t="s">
        <v>115</v>
      </c>
      <c r="M866" t="s">
        <v>75</v>
      </c>
      <c r="N866" t="s">
        <v>50</v>
      </c>
    </row>
    <row r="867" spans="1:14">
      <c r="A867">
        <v>35883373</v>
      </c>
      <c r="B867" t="s">
        <v>736</v>
      </c>
      <c r="C867">
        <v>2022</v>
      </c>
      <c r="D867" t="s">
        <v>110</v>
      </c>
      <c r="E867" t="s">
        <v>51</v>
      </c>
      <c r="F867" t="s">
        <v>64</v>
      </c>
      <c r="G867">
        <v>0</v>
      </c>
      <c r="H867">
        <v>3</v>
      </c>
      <c r="I867" s="1">
        <f t="shared" si="13"/>
        <v>0</v>
      </c>
      <c r="J867" t="s">
        <v>43</v>
      </c>
      <c r="K867" t="s">
        <v>44</v>
      </c>
      <c r="L867" t="s">
        <v>110</v>
      </c>
      <c r="M867" t="s">
        <v>75</v>
      </c>
      <c r="N867" t="s">
        <v>50</v>
      </c>
    </row>
    <row r="868" spans="1:14">
      <c r="A868">
        <v>35883373</v>
      </c>
      <c r="B868" t="s">
        <v>736</v>
      </c>
      <c r="C868">
        <v>2022</v>
      </c>
      <c r="D868" t="s">
        <v>22</v>
      </c>
      <c r="E868" t="s">
        <v>51</v>
      </c>
      <c r="F868" t="s">
        <v>64</v>
      </c>
      <c r="G868">
        <v>3</v>
      </c>
      <c r="H868">
        <v>3</v>
      </c>
      <c r="I868" s="1">
        <f t="shared" si="13"/>
        <v>1</v>
      </c>
      <c r="J868" t="s">
        <v>23</v>
      </c>
      <c r="K868" t="s">
        <v>24</v>
      </c>
      <c r="L868" t="s">
        <v>22</v>
      </c>
      <c r="M868" t="s">
        <v>75</v>
      </c>
      <c r="N868" t="s">
        <v>50</v>
      </c>
    </row>
    <row r="869" spans="1:14">
      <c r="A869">
        <v>35883373</v>
      </c>
      <c r="B869" t="s">
        <v>736</v>
      </c>
      <c r="C869">
        <v>2022</v>
      </c>
      <c r="D869" t="s">
        <v>112</v>
      </c>
      <c r="E869" t="s">
        <v>51</v>
      </c>
      <c r="F869" t="s">
        <v>64</v>
      </c>
      <c r="G869">
        <v>0</v>
      </c>
      <c r="H869">
        <v>3</v>
      </c>
      <c r="I869" s="1">
        <f t="shared" si="13"/>
        <v>0</v>
      </c>
      <c r="J869" t="s">
        <v>80</v>
      </c>
      <c r="K869" t="s">
        <v>113</v>
      </c>
      <c r="L869" t="s">
        <v>112</v>
      </c>
      <c r="M869" t="s">
        <v>75</v>
      </c>
      <c r="N869" t="s">
        <v>50</v>
      </c>
    </row>
    <row r="870" spans="1:14">
      <c r="A870">
        <v>35883373</v>
      </c>
      <c r="B870" t="s">
        <v>736</v>
      </c>
      <c r="C870">
        <v>2022</v>
      </c>
      <c r="D870" t="s">
        <v>111</v>
      </c>
      <c r="E870" t="s">
        <v>51</v>
      </c>
      <c r="F870" t="s">
        <v>64</v>
      </c>
      <c r="G870">
        <v>0</v>
      </c>
      <c r="H870">
        <v>3</v>
      </c>
      <c r="I870" s="1">
        <f t="shared" si="13"/>
        <v>0</v>
      </c>
      <c r="J870" t="s">
        <v>18</v>
      </c>
      <c r="K870" t="s">
        <v>19</v>
      </c>
      <c r="L870" t="s">
        <v>111</v>
      </c>
      <c r="M870" t="s">
        <v>75</v>
      </c>
      <c r="N870" t="s">
        <v>50</v>
      </c>
    </row>
    <row r="871" spans="1:14">
      <c r="A871">
        <v>35916969</v>
      </c>
      <c r="B871" t="s">
        <v>737</v>
      </c>
      <c r="C871">
        <v>2022</v>
      </c>
      <c r="D871" t="s">
        <v>115</v>
      </c>
      <c r="E871" t="s">
        <v>51</v>
      </c>
      <c r="F871" t="s">
        <v>64</v>
      </c>
      <c r="G871">
        <v>6</v>
      </c>
      <c r="H871">
        <v>117</v>
      </c>
      <c r="I871" s="1">
        <f t="shared" si="13"/>
        <v>0.0512820512820513</v>
      </c>
      <c r="J871" t="s">
        <v>38</v>
      </c>
      <c r="K871" t="s">
        <v>39</v>
      </c>
      <c r="L871" t="s">
        <v>115</v>
      </c>
      <c r="M871" t="s">
        <v>75</v>
      </c>
      <c r="N871" t="s">
        <v>50</v>
      </c>
    </row>
    <row r="872" spans="1:14">
      <c r="A872">
        <v>35967094</v>
      </c>
      <c r="B872" t="s">
        <v>738</v>
      </c>
      <c r="C872">
        <v>2022</v>
      </c>
      <c r="D872" t="s">
        <v>139</v>
      </c>
      <c r="E872" t="s">
        <v>16</v>
      </c>
      <c r="F872" t="s">
        <v>64</v>
      </c>
      <c r="G872">
        <v>0</v>
      </c>
      <c r="H872">
        <v>820</v>
      </c>
      <c r="I872" s="1">
        <f t="shared" si="13"/>
        <v>0</v>
      </c>
      <c r="J872" t="s">
        <v>80</v>
      </c>
      <c r="K872" t="s">
        <v>113</v>
      </c>
      <c r="L872" t="s">
        <v>139</v>
      </c>
      <c r="M872" t="s">
        <v>49</v>
      </c>
      <c r="N872" t="s">
        <v>50</v>
      </c>
    </row>
    <row r="873" spans="1:14">
      <c r="A873">
        <v>35979554</v>
      </c>
      <c r="B873" t="s">
        <v>739</v>
      </c>
      <c r="C873">
        <v>2022</v>
      </c>
      <c r="D873" t="s">
        <v>79</v>
      </c>
      <c r="E873" t="s">
        <v>77</v>
      </c>
      <c r="F873" t="s">
        <v>28</v>
      </c>
      <c r="G873">
        <v>3</v>
      </c>
      <c r="H873">
        <v>453</v>
      </c>
      <c r="I873" s="1">
        <f t="shared" si="13"/>
        <v>0.00662251655629139</v>
      </c>
      <c r="J873" t="s">
        <v>80</v>
      </c>
      <c r="K873" t="s">
        <v>81</v>
      </c>
      <c r="L873" t="s">
        <v>79</v>
      </c>
      <c r="M873" t="s">
        <v>68</v>
      </c>
      <c r="N873" t="s">
        <v>30</v>
      </c>
    </row>
    <row r="874" spans="1:14">
      <c r="A874">
        <v>35986711</v>
      </c>
      <c r="B874" t="s">
        <v>510</v>
      </c>
      <c r="C874">
        <v>2022</v>
      </c>
      <c r="D874" t="s">
        <v>124</v>
      </c>
      <c r="E874" t="s">
        <v>77</v>
      </c>
      <c r="F874" t="s">
        <v>64</v>
      </c>
      <c r="G874">
        <v>4</v>
      </c>
      <c r="H874">
        <v>191</v>
      </c>
      <c r="I874" s="1">
        <f t="shared" si="13"/>
        <v>0.0209424083769634</v>
      </c>
      <c r="J874" t="s">
        <v>125</v>
      </c>
      <c r="K874" t="s">
        <v>126</v>
      </c>
      <c r="L874" t="s">
        <v>124</v>
      </c>
      <c r="M874" t="s">
        <v>78</v>
      </c>
      <c r="N874" t="s">
        <v>50</v>
      </c>
    </row>
    <row r="875" spans="1:14">
      <c r="A875">
        <v>36014046</v>
      </c>
      <c r="B875" t="s">
        <v>732</v>
      </c>
      <c r="C875">
        <v>2022</v>
      </c>
      <c r="D875" t="s">
        <v>124</v>
      </c>
      <c r="E875" t="s">
        <v>77</v>
      </c>
      <c r="F875" t="s">
        <v>64</v>
      </c>
      <c r="G875">
        <v>21</v>
      </c>
      <c r="H875">
        <v>608</v>
      </c>
      <c r="I875" s="1">
        <f t="shared" si="13"/>
        <v>0.0345394736842105</v>
      </c>
      <c r="J875" t="s">
        <v>125</v>
      </c>
      <c r="K875" t="s">
        <v>126</v>
      </c>
      <c r="L875" t="s">
        <v>124</v>
      </c>
      <c r="M875" t="s">
        <v>75</v>
      </c>
      <c r="N875" t="s">
        <v>50</v>
      </c>
    </row>
    <row r="876" spans="1:14">
      <c r="A876">
        <v>36037620</v>
      </c>
      <c r="B876" t="s">
        <v>740</v>
      </c>
      <c r="C876">
        <v>2022</v>
      </c>
      <c r="D876" t="s">
        <v>741</v>
      </c>
      <c r="E876" t="s">
        <v>77</v>
      </c>
      <c r="F876" t="s">
        <v>64</v>
      </c>
      <c r="G876">
        <v>27</v>
      </c>
      <c r="H876">
        <v>138</v>
      </c>
      <c r="I876" s="1">
        <f t="shared" si="13"/>
        <v>0.195652173913043</v>
      </c>
      <c r="J876" t="s">
        <v>94</v>
      </c>
      <c r="K876" t="s">
        <v>95</v>
      </c>
      <c r="L876" t="s">
        <v>741</v>
      </c>
      <c r="M876" t="s">
        <v>29</v>
      </c>
      <c r="N876" t="s">
        <v>30</v>
      </c>
    </row>
    <row r="877" spans="1:14">
      <c r="A877">
        <v>36037620</v>
      </c>
      <c r="B877" t="s">
        <v>740</v>
      </c>
      <c r="C877">
        <v>2022</v>
      </c>
      <c r="D877" t="s">
        <v>537</v>
      </c>
      <c r="E877" t="s">
        <v>77</v>
      </c>
      <c r="F877" t="s">
        <v>64</v>
      </c>
      <c r="G877">
        <v>8</v>
      </c>
      <c r="H877">
        <v>138</v>
      </c>
      <c r="I877" s="1">
        <f t="shared" si="13"/>
        <v>0.0579710144927536</v>
      </c>
      <c r="J877" t="s">
        <v>94</v>
      </c>
      <c r="K877" t="s">
        <v>95</v>
      </c>
      <c r="L877" t="s">
        <v>537</v>
      </c>
      <c r="M877" t="s">
        <v>29</v>
      </c>
      <c r="N877" t="s">
        <v>30</v>
      </c>
    </row>
    <row r="878" spans="1:14">
      <c r="A878">
        <v>36037620</v>
      </c>
      <c r="B878" t="s">
        <v>740</v>
      </c>
      <c r="C878">
        <v>2022</v>
      </c>
      <c r="D878" t="s">
        <v>93</v>
      </c>
      <c r="E878" t="s">
        <v>77</v>
      </c>
      <c r="F878" t="s">
        <v>64</v>
      </c>
      <c r="G878">
        <v>31</v>
      </c>
      <c r="H878">
        <v>138</v>
      </c>
      <c r="I878" s="1">
        <f t="shared" si="13"/>
        <v>0.22463768115942</v>
      </c>
      <c r="J878" t="s">
        <v>94</v>
      </c>
      <c r="K878" t="s">
        <v>95</v>
      </c>
      <c r="L878" t="s">
        <v>93</v>
      </c>
      <c r="M878" t="s">
        <v>29</v>
      </c>
      <c r="N878" t="s">
        <v>30</v>
      </c>
    </row>
    <row r="879" spans="1:14">
      <c r="A879">
        <v>36037620</v>
      </c>
      <c r="B879" t="s">
        <v>740</v>
      </c>
      <c r="C879">
        <v>2022</v>
      </c>
      <c r="D879" t="s">
        <v>205</v>
      </c>
      <c r="E879" t="s">
        <v>77</v>
      </c>
      <c r="F879" t="s">
        <v>64</v>
      </c>
      <c r="G879">
        <v>30</v>
      </c>
      <c r="H879">
        <v>138</v>
      </c>
      <c r="I879" s="1">
        <f t="shared" si="13"/>
        <v>0.217391304347826</v>
      </c>
      <c r="J879" t="s">
        <v>94</v>
      </c>
      <c r="K879" t="s">
        <v>95</v>
      </c>
      <c r="L879" t="s">
        <v>205</v>
      </c>
      <c r="M879" t="s">
        <v>29</v>
      </c>
      <c r="N879" t="s">
        <v>30</v>
      </c>
    </row>
    <row r="880" spans="1:14">
      <c r="A880">
        <v>36144370</v>
      </c>
      <c r="B880" t="s">
        <v>742</v>
      </c>
      <c r="C880">
        <v>2022</v>
      </c>
      <c r="D880" t="s">
        <v>195</v>
      </c>
      <c r="E880" t="s">
        <v>77</v>
      </c>
      <c r="F880" t="s">
        <v>28</v>
      </c>
      <c r="G880">
        <v>145</v>
      </c>
      <c r="H880">
        <v>2618</v>
      </c>
      <c r="I880" s="1">
        <f t="shared" si="13"/>
        <v>0.0553857906799083</v>
      </c>
      <c r="J880" t="s">
        <v>85</v>
      </c>
      <c r="K880" t="s">
        <v>86</v>
      </c>
      <c r="L880" t="s">
        <v>195</v>
      </c>
      <c r="M880" t="s">
        <v>75</v>
      </c>
      <c r="N880" t="s">
        <v>50</v>
      </c>
    </row>
    <row r="881" spans="1:14">
      <c r="A881">
        <v>36146832</v>
      </c>
      <c r="B881" t="s">
        <v>743</v>
      </c>
      <c r="C881">
        <v>2022</v>
      </c>
      <c r="D881" t="s">
        <v>277</v>
      </c>
      <c r="E881" t="s">
        <v>77</v>
      </c>
      <c r="F881" t="s">
        <v>64</v>
      </c>
      <c r="G881">
        <v>64</v>
      </c>
      <c r="H881">
        <v>443</v>
      </c>
      <c r="I881" s="1">
        <f t="shared" si="13"/>
        <v>0.144469525959368</v>
      </c>
      <c r="J881" t="s">
        <v>278</v>
      </c>
      <c r="K881" t="s">
        <v>279</v>
      </c>
      <c r="L881" t="s">
        <v>277</v>
      </c>
      <c r="M881" t="s">
        <v>160</v>
      </c>
      <c r="N881" t="s">
        <v>50</v>
      </c>
    </row>
    <row r="882" spans="1:14">
      <c r="A882">
        <v>36169417</v>
      </c>
      <c r="B882" t="s">
        <v>744</v>
      </c>
      <c r="C882">
        <v>2022</v>
      </c>
      <c r="D882" t="s">
        <v>230</v>
      </c>
      <c r="E882" t="s">
        <v>167</v>
      </c>
      <c r="F882" t="s">
        <v>64</v>
      </c>
      <c r="G882">
        <v>2</v>
      </c>
      <c r="H882">
        <v>4</v>
      </c>
      <c r="I882" s="1">
        <f t="shared" si="13"/>
        <v>0.5</v>
      </c>
      <c r="J882" t="s">
        <v>231</v>
      </c>
      <c r="K882" t="s">
        <v>61</v>
      </c>
      <c r="L882" t="s">
        <v>230</v>
      </c>
      <c r="M882" t="s">
        <v>745</v>
      </c>
      <c r="N882" t="s">
        <v>50</v>
      </c>
    </row>
    <row r="883" spans="1:14">
      <c r="A883">
        <v>36169417</v>
      </c>
      <c r="B883" t="s">
        <v>744</v>
      </c>
      <c r="C883">
        <v>2022</v>
      </c>
      <c r="D883" t="s">
        <v>746</v>
      </c>
      <c r="E883" t="s">
        <v>167</v>
      </c>
      <c r="F883" t="s">
        <v>64</v>
      </c>
      <c r="G883">
        <v>1</v>
      </c>
      <c r="H883">
        <v>4</v>
      </c>
      <c r="I883" s="1">
        <f t="shared" si="13"/>
        <v>0.25</v>
      </c>
      <c r="J883" t="s">
        <v>231</v>
      </c>
      <c r="K883" t="s">
        <v>61</v>
      </c>
      <c r="L883" t="s">
        <v>746</v>
      </c>
      <c r="M883" t="s">
        <v>745</v>
      </c>
      <c r="N883" t="s">
        <v>50</v>
      </c>
    </row>
    <row r="884" spans="1:14">
      <c r="A884">
        <v>36183164</v>
      </c>
      <c r="B884" t="s">
        <v>747</v>
      </c>
      <c r="C884">
        <v>2022</v>
      </c>
      <c r="D884" t="s">
        <v>748</v>
      </c>
      <c r="E884" t="s">
        <v>77</v>
      </c>
      <c r="F884" t="s">
        <v>28</v>
      </c>
      <c r="G884">
        <v>184</v>
      </c>
      <c r="H884">
        <v>453</v>
      </c>
      <c r="I884" s="1">
        <f t="shared" si="13"/>
        <v>0.406181015452539</v>
      </c>
      <c r="J884" t="s">
        <v>60</v>
      </c>
      <c r="K884" t="s">
        <v>694</v>
      </c>
      <c r="L884" t="s">
        <v>748</v>
      </c>
      <c r="M884" t="s">
        <v>78</v>
      </c>
      <c r="N884" t="s">
        <v>50</v>
      </c>
    </row>
    <row r="885" spans="1:14">
      <c r="A885">
        <v>36257486</v>
      </c>
      <c r="B885" t="s">
        <v>749</v>
      </c>
      <c r="C885">
        <v>2023</v>
      </c>
      <c r="D885" t="s">
        <v>687</v>
      </c>
      <c r="E885" t="s">
        <v>51</v>
      </c>
      <c r="F885" t="s">
        <v>64</v>
      </c>
      <c r="G885">
        <v>71</v>
      </c>
      <c r="H885">
        <v>100</v>
      </c>
      <c r="I885" s="1">
        <f t="shared" si="13"/>
        <v>0.71</v>
      </c>
      <c r="J885" t="s">
        <v>38</v>
      </c>
      <c r="K885" t="s">
        <v>39</v>
      </c>
      <c r="L885" t="s">
        <v>687</v>
      </c>
      <c r="M885" t="s">
        <v>75</v>
      </c>
      <c r="N885" t="s">
        <v>50</v>
      </c>
    </row>
    <row r="886" spans="1:14">
      <c r="A886">
        <v>36297164</v>
      </c>
      <c r="B886" t="s">
        <v>750</v>
      </c>
      <c r="C886">
        <v>2022</v>
      </c>
      <c r="D886" t="s">
        <v>15</v>
      </c>
      <c r="E886" t="s">
        <v>77</v>
      </c>
      <c r="F886" t="s">
        <v>28</v>
      </c>
      <c r="G886">
        <v>121</v>
      </c>
      <c r="H886">
        <v>399</v>
      </c>
      <c r="I886" s="1">
        <f t="shared" si="13"/>
        <v>0.303258145363409</v>
      </c>
      <c r="J886" t="s">
        <v>18</v>
      </c>
      <c r="K886" t="s">
        <v>19</v>
      </c>
      <c r="L886" t="s">
        <v>15</v>
      </c>
      <c r="M886" t="s">
        <v>70</v>
      </c>
      <c r="N886" t="s">
        <v>50</v>
      </c>
    </row>
    <row r="887" spans="1:14">
      <c r="A887">
        <v>36319813</v>
      </c>
      <c r="B887" t="s">
        <v>751</v>
      </c>
      <c r="C887">
        <v>2023</v>
      </c>
      <c r="D887" t="s">
        <v>15</v>
      </c>
      <c r="E887" t="s">
        <v>77</v>
      </c>
      <c r="F887" t="s">
        <v>64</v>
      </c>
      <c r="G887">
        <v>0</v>
      </c>
      <c r="H887">
        <v>222</v>
      </c>
      <c r="I887" s="1">
        <f t="shared" si="13"/>
        <v>0</v>
      </c>
      <c r="J887" t="s">
        <v>18</v>
      </c>
      <c r="K887" t="s">
        <v>19</v>
      </c>
      <c r="L887" t="s">
        <v>15</v>
      </c>
      <c r="M887" t="s">
        <v>160</v>
      </c>
      <c r="N887" t="s">
        <v>50</v>
      </c>
    </row>
    <row r="888" spans="1:14">
      <c r="A888">
        <v>36342369</v>
      </c>
      <c r="B888" t="s">
        <v>697</v>
      </c>
      <c r="C888">
        <v>2022</v>
      </c>
      <c r="D888" t="s">
        <v>112</v>
      </c>
      <c r="E888" t="s">
        <v>77</v>
      </c>
      <c r="F888" t="s">
        <v>28</v>
      </c>
      <c r="G888">
        <v>3</v>
      </c>
      <c r="H888">
        <v>444</v>
      </c>
      <c r="I888" s="1">
        <f t="shared" si="13"/>
        <v>0.00675675675675676</v>
      </c>
      <c r="J888" t="s">
        <v>80</v>
      </c>
      <c r="K888" t="s">
        <v>113</v>
      </c>
      <c r="L888" t="s">
        <v>112</v>
      </c>
      <c r="M888" t="s">
        <v>75</v>
      </c>
      <c r="N888" t="s">
        <v>50</v>
      </c>
    </row>
    <row r="889" spans="1:14">
      <c r="A889">
        <v>36342369</v>
      </c>
      <c r="B889" t="s">
        <v>697</v>
      </c>
      <c r="C889">
        <v>2022</v>
      </c>
      <c r="D889" t="s">
        <v>325</v>
      </c>
      <c r="E889" t="s">
        <v>77</v>
      </c>
      <c r="F889" t="s">
        <v>28</v>
      </c>
      <c r="G889">
        <v>17</v>
      </c>
      <c r="H889">
        <v>444</v>
      </c>
      <c r="I889" s="1">
        <f t="shared" si="13"/>
        <v>0.0382882882882883</v>
      </c>
      <c r="J889" t="s">
        <v>80</v>
      </c>
      <c r="K889" t="s">
        <v>113</v>
      </c>
      <c r="L889" t="s">
        <v>325</v>
      </c>
      <c r="M889" t="s">
        <v>75</v>
      </c>
      <c r="N889" t="s">
        <v>50</v>
      </c>
    </row>
    <row r="890" spans="1:14">
      <c r="A890">
        <v>36356068</v>
      </c>
      <c r="B890" t="s">
        <v>752</v>
      </c>
      <c r="C890">
        <v>2022</v>
      </c>
      <c r="D890" t="s">
        <v>110</v>
      </c>
      <c r="E890" t="s">
        <v>48</v>
      </c>
      <c r="F890" t="s">
        <v>64</v>
      </c>
      <c r="G890">
        <v>2</v>
      </c>
      <c r="H890">
        <v>105</v>
      </c>
      <c r="I890" s="1">
        <f t="shared" si="13"/>
        <v>0.019047619047619</v>
      </c>
      <c r="J890" t="s">
        <v>43</v>
      </c>
      <c r="K890" t="s">
        <v>44</v>
      </c>
      <c r="L890" t="s">
        <v>110</v>
      </c>
      <c r="M890" t="s">
        <v>151</v>
      </c>
      <c r="N890" t="s">
        <v>30</v>
      </c>
    </row>
    <row r="891" spans="1:14">
      <c r="A891">
        <v>36366458</v>
      </c>
      <c r="B891" t="s">
        <v>753</v>
      </c>
      <c r="C891">
        <v>2022</v>
      </c>
      <c r="D891" t="s">
        <v>462</v>
      </c>
      <c r="E891" t="s">
        <v>77</v>
      </c>
      <c r="F891" t="s">
        <v>17</v>
      </c>
      <c r="G891">
        <v>28</v>
      </c>
      <c r="H891">
        <v>142</v>
      </c>
      <c r="I891" s="1">
        <f t="shared" si="13"/>
        <v>0.197183098591549</v>
      </c>
      <c r="J891" t="s">
        <v>55</v>
      </c>
      <c r="K891" t="s">
        <v>56</v>
      </c>
      <c r="L891" t="s">
        <v>462</v>
      </c>
      <c r="M891" t="s">
        <v>62</v>
      </c>
      <c r="N891" t="s">
        <v>50</v>
      </c>
    </row>
    <row r="892" spans="1:14">
      <c r="A892">
        <v>36366458</v>
      </c>
      <c r="B892" t="s">
        <v>753</v>
      </c>
      <c r="C892">
        <v>2022</v>
      </c>
      <c r="D892" t="s">
        <v>53</v>
      </c>
      <c r="E892" t="s">
        <v>77</v>
      </c>
      <c r="F892" t="s">
        <v>17</v>
      </c>
      <c r="G892">
        <v>77</v>
      </c>
      <c r="H892">
        <v>831</v>
      </c>
      <c r="I892" s="1">
        <f t="shared" si="13"/>
        <v>0.0926594464500602</v>
      </c>
      <c r="J892" t="s">
        <v>55</v>
      </c>
      <c r="K892" t="s">
        <v>56</v>
      </c>
      <c r="L892" t="s">
        <v>53</v>
      </c>
      <c r="M892" t="s">
        <v>62</v>
      </c>
      <c r="N892" t="s">
        <v>50</v>
      </c>
    </row>
    <row r="893" spans="1:14">
      <c r="A893">
        <v>36366498</v>
      </c>
      <c r="B893" t="s">
        <v>754</v>
      </c>
      <c r="C893">
        <v>2022</v>
      </c>
      <c r="D893" t="s">
        <v>755</v>
      </c>
      <c r="E893" t="s">
        <v>77</v>
      </c>
      <c r="F893" t="s">
        <v>64</v>
      </c>
      <c r="G893">
        <v>11</v>
      </c>
      <c r="H893">
        <v>113</v>
      </c>
      <c r="I893" s="1">
        <f t="shared" si="13"/>
        <v>0.0973451327433628</v>
      </c>
      <c r="J893" t="s">
        <v>43</v>
      </c>
      <c r="K893" t="s">
        <v>44</v>
      </c>
      <c r="L893" t="s">
        <v>755</v>
      </c>
      <c r="M893" t="s">
        <v>68</v>
      </c>
      <c r="N893" t="s">
        <v>30</v>
      </c>
    </row>
    <row r="894" spans="1:14">
      <c r="A894">
        <v>36417938</v>
      </c>
      <c r="B894" t="s">
        <v>756</v>
      </c>
      <c r="C894">
        <v>2022</v>
      </c>
      <c r="D894" t="s">
        <v>454</v>
      </c>
      <c r="E894" t="s">
        <v>167</v>
      </c>
      <c r="F894" t="s">
        <v>54</v>
      </c>
      <c r="G894">
        <v>0</v>
      </c>
      <c r="H894">
        <v>45</v>
      </c>
      <c r="I894" s="1">
        <f t="shared" si="13"/>
        <v>0</v>
      </c>
      <c r="J894" t="s">
        <v>231</v>
      </c>
      <c r="K894" t="s">
        <v>455</v>
      </c>
      <c r="L894" t="s">
        <v>454</v>
      </c>
      <c r="M894" t="s">
        <v>456</v>
      </c>
      <c r="N894" t="s">
        <v>30</v>
      </c>
    </row>
    <row r="895" spans="1:14">
      <c r="A895">
        <v>36423168</v>
      </c>
      <c r="B895" t="s">
        <v>757</v>
      </c>
      <c r="C895">
        <v>2022</v>
      </c>
      <c r="D895" t="s">
        <v>462</v>
      </c>
      <c r="E895" t="s">
        <v>48</v>
      </c>
      <c r="F895" t="s">
        <v>17</v>
      </c>
      <c r="G895">
        <v>1</v>
      </c>
      <c r="H895">
        <v>9</v>
      </c>
      <c r="I895" s="1">
        <f t="shared" si="13"/>
        <v>0.111111111111111</v>
      </c>
      <c r="J895" t="s">
        <v>55</v>
      </c>
      <c r="K895" t="s">
        <v>56</v>
      </c>
      <c r="L895" t="s">
        <v>462</v>
      </c>
      <c r="M895" t="s">
        <v>49</v>
      </c>
      <c r="N895" t="s">
        <v>50</v>
      </c>
    </row>
    <row r="896" spans="1:14">
      <c r="A896">
        <v>36423168</v>
      </c>
      <c r="B896" t="s">
        <v>757</v>
      </c>
      <c r="C896">
        <v>2022</v>
      </c>
      <c r="D896" t="s">
        <v>53</v>
      </c>
      <c r="E896" t="s">
        <v>48</v>
      </c>
      <c r="F896" t="s">
        <v>17</v>
      </c>
      <c r="G896">
        <v>1</v>
      </c>
      <c r="H896">
        <v>9</v>
      </c>
      <c r="I896" s="1">
        <f t="shared" si="13"/>
        <v>0.111111111111111</v>
      </c>
      <c r="J896" t="s">
        <v>55</v>
      </c>
      <c r="K896" t="s">
        <v>56</v>
      </c>
      <c r="L896" t="s">
        <v>53</v>
      </c>
      <c r="M896" t="s">
        <v>49</v>
      </c>
      <c r="N896" t="s">
        <v>50</v>
      </c>
    </row>
    <row r="897" spans="1:14">
      <c r="A897">
        <v>36423168</v>
      </c>
      <c r="B897" t="s">
        <v>757</v>
      </c>
      <c r="C897">
        <v>2022</v>
      </c>
      <c r="D897" t="s">
        <v>57</v>
      </c>
      <c r="E897" t="s">
        <v>16</v>
      </c>
      <c r="F897" t="s">
        <v>17</v>
      </c>
      <c r="G897">
        <v>7</v>
      </c>
      <c r="H897">
        <v>195</v>
      </c>
      <c r="I897" s="1">
        <f t="shared" si="13"/>
        <v>0.0358974358974359</v>
      </c>
      <c r="J897" t="s">
        <v>55</v>
      </c>
      <c r="K897" t="s">
        <v>56</v>
      </c>
      <c r="L897" t="s">
        <v>57</v>
      </c>
      <c r="M897" t="s">
        <v>49</v>
      </c>
      <c r="N897" t="s">
        <v>50</v>
      </c>
    </row>
    <row r="898" spans="1:14">
      <c r="A898">
        <v>36423168</v>
      </c>
      <c r="B898" t="s">
        <v>757</v>
      </c>
      <c r="C898">
        <v>2022</v>
      </c>
      <c r="D898" t="s">
        <v>53</v>
      </c>
      <c r="E898" t="s">
        <v>16</v>
      </c>
      <c r="F898" t="s">
        <v>17</v>
      </c>
      <c r="G898">
        <v>0</v>
      </c>
      <c r="H898">
        <v>195</v>
      </c>
      <c r="I898" s="1">
        <f t="shared" si="13"/>
        <v>0</v>
      </c>
      <c r="J898" t="s">
        <v>55</v>
      </c>
      <c r="K898" t="s">
        <v>56</v>
      </c>
      <c r="L898" t="s">
        <v>53</v>
      </c>
      <c r="M898" t="s">
        <v>49</v>
      </c>
      <c r="N898" t="s">
        <v>50</v>
      </c>
    </row>
    <row r="899" spans="1:14">
      <c r="A899">
        <v>36423168</v>
      </c>
      <c r="B899" t="s">
        <v>757</v>
      </c>
      <c r="C899">
        <v>2022</v>
      </c>
      <c r="D899" t="s">
        <v>139</v>
      </c>
      <c r="E899" t="s">
        <v>48</v>
      </c>
      <c r="F899" t="s">
        <v>64</v>
      </c>
      <c r="G899">
        <v>0</v>
      </c>
      <c r="H899">
        <v>11</v>
      </c>
      <c r="I899" s="1">
        <f t="shared" ref="I899:I962" si="14">G899/H899</f>
        <v>0</v>
      </c>
      <c r="J899" t="s">
        <v>80</v>
      </c>
      <c r="K899" t="s">
        <v>113</v>
      </c>
      <c r="L899" t="s">
        <v>139</v>
      </c>
      <c r="M899" t="s">
        <v>49</v>
      </c>
      <c r="N899" t="s">
        <v>50</v>
      </c>
    </row>
    <row r="900" spans="1:14">
      <c r="A900">
        <v>36423168</v>
      </c>
      <c r="B900" t="s">
        <v>757</v>
      </c>
      <c r="C900">
        <v>2022</v>
      </c>
      <c r="D900" t="s">
        <v>57</v>
      </c>
      <c r="E900" t="s">
        <v>48</v>
      </c>
      <c r="F900" t="s">
        <v>17</v>
      </c>
      <c r="G900">
        <v>0</v>
      </c>
      <c r="H900">
        <v>9</v>
      </c>
      <c r="I900" s="1">
        <f t="shared" si="14"/>
        <v>0</v>
      </c>
      <c r="J900" t="s">
        <v>55</v>
      </c>
      <c r="K900" t="s">
        <v>56</v>
      </c>
      <c r="L900" t="s">
        <v>57</v>
      </c>
      <c r="M900" t="s">
        <v>49</v>
      </c>
      <c r="N900" t="s">
        <v>50</v>
      </c>
    </row>
    <row r="901" spans="1:14">
      <c r="A901">
        <v>36423168</v>
      </c>
      <c r="B901" t="s">
        <v>757</v>
      </c>
      <c r="C901">
        <v>2022</v>
      </c>
      <c r="D901" t="s">
        <v>462</v>
      </c>
      <c r="E901" t="s">
        <v>16</v>
      </c>
      <c r="F901" t="s">
        <v>17</v>
      </c>
      <c r="G901">
        <v>3</v>
      </c>
      <c r="H901">
        <v>195</v>
      </c>
      <c r="I901" s="1">
        <f t="shared" si="14"/>
        <v>0.0153846153846154</v>
      </c>
      <c r="J901" t="s">
        <v>55</v>
      </c>
      <c r="K901" t="s">
        <v>56</v>
      </c>
      <c r="L901" t="s">
        <v>462</v>
      </c>
      <c r="M901" t="s">
        <v>49</v>
      </c>
      <c r="N901" t="s">
        <v>50</v>
      </c>
    </row>
    <row r="902" spans="1:14">
      <c r="A902">
        <v>36423168</v>
      </c>
      <c r="B902" t="s">
        <v>757</v>
      </c>
      <c r="C902">
        <v>2022</v>
      </c>
      <c r="D902" t="s">
        <v>139</v>
      </c>
      <c r="E902" t="s">
        <v>16</v>
      </c>
      <c r="F902" t="s">
        <v>64</v>
      </c>
      <c r="G902">
        <v>0</v>
      </c>
      <c r="H902">
        <v>211</v>
      </c>
      <c r="I902" s="1">
        <f t="shared" si="14"/>
        <v>0</v>
      </c>
      <c r="J902" t="s">
        <v>80</v>
      </c>
      <c r="K902" t="s">
        <v>113</v>
      </c>
      <c r="L902" t="s">
        <v>139</v>
      </c>
      <c r="M902" t="s">
        <v>49</v>
      </c>
      <c r="N902" t="s">
        <v>50</v>
      </c>
    </row>
    <row r="903" spans="1:14">
      <c r="A903">
        <v>36462496</v>
      </c>
      <c r="B903" t="s">
        <v>758</v>
      </c>
      <c r="C903">
        <v>2023</v>
      </c>
      <c r="D903" t="s">
        <v>195</v>
      </c>
      <c r="E903" t="s">
        <v>51</v>
      </c>
      <c r="F903" t="s">
        <v>64</v>
      </c>
      <c r="G903">
        <v>1</v>
      </c>
      <c r="H903">
        <v>1</v>
      </c>
      <c r="I903" s="1">
        <f t="shared" si="14"/>
        <v>1</v>
      </c>
      <c r="J903" t="s">
        <v>85</v>
      </c>
      <c r="K903" t="s">
        <v>86</v>
      </c>
      <c r="L903" t="s">
        <v>195</v>
      </c>
      <c r="M903" t="s">
        <v>68</v>
      </c>
      <c r="N903" t="s">
        <v>30</v>
      </c>
    </row>
    <row r="904" spans="1:14">
      <c r="A904">
        <v>36496846</v>
      </c>
      <c r="B904" t="s">
        <v>759</v>
      </c>
      <c r="C904">
        <v>2022</v>
      </c>
      <c r="D904" t="s">
        <v>741</v>
      </c>
      <c r="E904" t="s">
        <v>48</v>
      </c>
      <c r="F904" t="s">
        <v>64</v>
      </c>
      <c r="G904">
        <v>22</v>
      </c>
      <c r="H904">
        <v>108</v>
      </c>
      <c r="I904" s="1">
        <f t="shared" si="14"/>
        <v>0.203703703703704</v>
      </c>
      <c r="J904" t="s">
        <v>94</v>
      </c>
      <c r="K904" t="s">
        <v>95</v>
      </c>
      <c r="L904" t="s">
        <v>741</v>
      </c>
      <c r="M904" t="s">
        <v>29</v>
      </c>
      <c r="N904" t="s">
        <v>30</v>
      </c>
    </row>
    <row r="905" spans="1:14">
      <c r="A905">
        <v>36558891</v>
      </c>
      <c r="B905" t="s">
        <v>652</v>
      </c>
      <c r="C905">
        <v>2022</v>
      </c>
      <c r="D905" t="s">
        <v>22</v>
      </c>
      <c r="E905" t="s">
        <v>51</v>
      </c>
      <c r="F905" t="s">
        <v>64</v>
      </c>
      <c r="G905">
        <v>10</v>
      </c>
      <c r="H905">
        <v>67</v>
      </c>
      <c r="I905" s="1">
        <f t="shared" si="14"/>
        <v>0.149253731343284</v>
      </c>
      <c r="J905" t="s">
        <v>23</v>
      </c>
      <c r="K905" t="s">
        <v>24</v>
      </c>
      <c r="L905" t="s">
        <v>22</v>
      </c>
      <c r="M905" t="s">
        <v>75</v>
      </c>
      <c r="N905" t="s">
        <v>50</v>
      </c>
    </row>
    <row r="906" spans="1:14">
      <c r="A906">
        <v>36558891</v>
      </c>
      <c r="B906" t="s">
        <v>652</v>
      </c>
      <c r="C906">
        <v>2022</v>
      </c>
      <c r="D906" t="s">
        <v>15</v>
      </c>
      <c r="E906" t="s">
        <v>51</v>
      </c>
      <c r="F906" t="s">
        <v>64</v>
      </c>
      <c r="G906">
        <v>0</v>
      </c>
      <c r="H906">
        <v>67</v>
      </c>
      <c r="I906" s="1">
        <f t="shared" si="14"/>
        <v>0</v>
      </c>
      <c r="J906" t="s">
        <v>18</v>
      </c>
      <c r="K906" t="s">
        <v>19</v>
      </c>
      <c r="L906" t="s">
        <v>15</v>
      </c>
      <c r="M906" t="s">
        <v>75</v>
      </c>
      <c r="N906" t="s">
        <v>50</v>
      </c>
    </row>
    <row r="907" spans="1:14">
      <c r="A907">
        <v>36558891</v>
      </c>
      <c r="B907" t="s">
        <v>652</v>
      </c>
      <c r="C907">
        <v>2022</v>
      </c>
      <c r="D907" t="s">
        <v>45</v>
      </c>
      <c r="E907" t="s">
        <v>51</v>
      </c>
      <c r="F907" t="s">
        <v>64</v>
      </c>
      <c r="G907">
        <v>0</v>
      </c>
      <c r="H907">
        <v>67</v>
      </c>
      <c r="I907" s="1">
        <f t="shared" si="14"/>
        <v>0</v>
      </c>
      <c r="J907" t="s">
        <v>23</v>
      </c>
      <c r="K907" t="s">
        <v>46</v>
      </c>
      <c r="L907" t="s">
        <v>45</v>
      </c>
      <c r="M907" t="s">
        <v>75</v>
      </c>
      <c r="N907" t="s">
        <v>50</v>
      </c>
    </row>
    <row r="908" spans="1:14">
      <c r="A908">
        <v>36560831</v>
      </c>
      <c r="B908" t="s">
        <v>662</v>
      </c>
      <c r="C908">
        <v>2022</v>
      </c>
      <c r="D908" t="s">
        <v>249</v>
      </c>
      <c r="E908" t="s">
        <v>77</v>
      </c>
      <c r="F908" t="s">
        <v>64</v>
      </c>
      <c r="G908">
        <v>8</v>
      </c>
      <c r="H908">
        <v>8</v>
      </c>
      <c r="I908" s="1">
        <f t="shared" si="14"/>
        <v>1</v>
      </c>
      <c r="J908" t="s">
        <v>250</v>
      </c>
      <c r="K908" t="s">
        <v>251</v>
      </c>
      <c r="L908" t="s">
        <v>249</v>
      </c>
      <c r="M908" t="s">
        <v>49</v>
      </c>
      <c r="N908" t="s">
        <v>50</v>
      </c>
    </row>
    <row r="909" spans="1:14">
      <c r="A909">
        <v>36573538</v>
      </c>
      <c r="B909" t="s">
        <v>760</v>
      </c>
      <c r="C909">
        <v>2023</v>
      </c>
      <c r="D909" t="s">
        <v>761</v>
      </c>
      <c r="E909" t="s">
        <v>51</v>
      </c>
      <c r="F909" t="s">
        <v>28</v>
      </c>
      <c r="G909">
        <v>9</v>
      </c>
      <c r="H909">
        <v>77</v>
      </c>
      <c r="I909" s="1">
        <f t="shared" si="14"/>
        <v>0.116883116883117</v>
      </c>
      <c r="J909" t="s">
        <v>60</v>
      </c>
      <c r="K909" t="s">
        <v>527</v>
      </c>
      <c r="L909" t="s">
        <v>761</v>
      </c>
      <c r="M909" t="s">
        <v>96</v>
      </c>
      <c r="N909" t="s">
        <v>21</v>
      </c>
    </row>
    <row r="910" spans="1:14">
      <c r="A910">
        <v>36577308</v>
      </c>
      <c r="B910" t="s">
        <v>762</v>
      </c>
      <c r="C910">
        <v>2023</v>
      </c>
      <c r="D910" t="s">
        <v>454</v>
      </c>
      <c r="E910" t="s">
        <v>48</v>
      </c>
      <c r="F910" t="s">
        <v>28</v>
      </c>
      <c r="G910">
        <v>12</v>
      </c>
      <c r="H910">
        <v>53</v>
      </c>
      <c r="I910" s="1">
        <f t="shared" si="14"/>
        <v>0.226415094339623</v>
      </c>
      <c r="J910" t="s">
        <v>60</v>
      </c>
      <c r="K910" t="s">
        <v>455</v>
      </c>
      <c r="L910" t="s">
        <v>454</v>
      </c>
      <c r="M910" t="s">
        <v>763</v>
      </c>
      <c r="N910" t="s">
        <v>30</v>
      </c>
    </row>
    <row r="911" spans="1:14">
      <c r="A911">
        <v>36577308</v>
      </c>
      <c r="B911" t="s">
        <v>762</v>
      </c>
      <c r="C911">
        <v>2023</v>
      </c>
      <c r="D911" t="s">
        <v>454</v>
      </c>
      <c r="E911" t="s">
        <v>48</v>
      </c>
      <c r="F911" t="s">
        <v>28</v>
      </c>
      <c r="G911">
        <v>12</v>
      </c>
      <c r="H911">
        <v>53</v>
      </c>
      <c r="I911" s="1">
        <f t="shared" si="14"/>
        <v>0.226415094339623</v>
      </c>
      <c r="J911" t="s">
        <v>60</v>
      </c>
      <c r="K911" t="s">
        <v>455</v>
      </c>
      <c r="L911" t="s">
        <v>454</v>
      </c>
      <c r="M911" t="s">
        <v>68</v>
      </c>
      <c r="N911" t="s">
        <v>30</v>
      </c>
    </row>
    <row r="912" spans="1:14">
      <c r="A912">
        <v>36577308</v>
      </c>
      <c r="B912" t="s">
        <v>762</v>
      </c>
      <c r="C912">
        <v>2023</v>
      </c>
      <c r="D912" t="s">
        <v>454</v>
      </c>
      <c r="E912" t="s">
        <v>51</v>
      </c>
      <c r="F912" t="s">
        <v>64</v>
      </c>
      <c r="G912">
        <v>0</v>
      </c>
      <c r="H912">
        <v>1</v>
      </c>
      <c r="I912" s="1">
        <f t="shared" si="14"/>
        <v>0</v>
      </c>
      <c r="J912" t="s">
        <v>60</v>
      </c>
      <c r="K912" t="s">
        <v>455</v>
      </c>
      <c r="L912" t="s">
        <v>454</v>
      </c>
      <c r="M912" t="s">
        <v>763</v>
      </c>
      <c r="N912" t="s">
        <v>50</v>
      </c>
    </row>
    <row r="913" spans="1:14">
      <c r="A913">
        <v>36577308</v>
      </c>
      <c r="B913" t="s">
        <v>762</v>
      </c>
      <c r="C913">
        <v>2023</v>
      </c>
      <c r="D913" t="s">
        <v>454</v>
      </c>
      <c r="E913" t="s">
        <v>51</v>
      </c>
      <c r="F913" t="s">
        <v>64</v>
      </c>
      <c r="G913">
        <v>0</v>
      </c>
      <c r="H913">
        <v>1</v>
      </c>
      <c r="I913" s="1">
        <f t="shared" si="14"/>
        <v>0</v>
      </c>
      <c r="J913" t="s">
        <v>60</v>
      </c>
      <c r="K913" t="s">
        <v>455</v>
      </c>
      <c r="L913" t="s">
        <v>454</v>
      </c>
      <c r="M913" t="s">
        <v>68</v>
      </c>
      <c r="N913" t="s">
        <v>50</v>
      </c>
    </row>
    <row r="914" spans="1:14">
      <c r="A914">
        <v>36608374</v>
      </c>
      <c r="B914" t="s">
        <v>675</v>
      </c>
      <c r="C914">
        <v>2023</v>
      </c>
      <c r="D914" t="s">
        <v>764</v>
      </c>
      <c r="E914" t="s">
        <v>77</v>
      </c>
      <c r="F914" t="s">
        <v>54</v>
      </c>
      <c r="G914">
        <v>0</v>
      </c>
      <c r="H914">
        <v>703</v>
      </c>
      <c r="I914" s="1">
        <f t="shared" si="14"/>
        <v>0</v>
      </c>
      <c r="J914" t="s">
        <v>278</v>
      </c>
      <c r="K914" t="s">
        <v>279</v>
      </c>
      <c r="L914" t="s">
        <v>764</v>
      </c>
      <c r="M914" t="s">
        <v>78</v>
      </c>
      <c r="N914" t="s">
        <v>50</v>
      </c>
    </row>
    <row r="915" spans="1:14">
      <c r="A915">
        <v>36608374</v>
      </c>
      <c r="B915" t="s">
        <v>675</v>
      </c>
      <c r="C915">
        <v>2023</v>
      </c>
      <c r="D915" t="s">
        <v>124</v>
      </c>
      <c r="E915" t="s">
        <v>77</v>
      </c>
      <c r="F915" t="s">
        <v>54</v>
      </c>
      <c r="G915">
        <v>49</v>
      </c>
      <c r="H915">
        <v>703</v>
      </c>
      <c r="I915" s="1">
        <f t="shared" si="14"/>
        <v>0.069701280227596</v>
      </c>
      <c r="J915" t="s">
        <v>125</v>
      </c>
      <c r="K915" t="s">
        <v>126</v>
      </c>
      <c r="L915" t="s">
        <v>124</v>
      </c>
      <c r="M915" t="s">
        <v>78</v>
      </c>
      <c r="N915" t="s">
        <v>50</v>
      </c>
    </row>
    <row r="916" spans="1:14">
      <c r="A916">
        <v>36670797</v>
      </c>
      <c r="B916" t="s">
        <v>765</v>
      </c>
      <c r="C916">
        <v>2023</v>
      </c>
      <c r="D916" t="s">
        <v>124</v>
      </c>
      <c r="E916" t="s">
        <v>77</v>
      </c>
      <c r="F916" t="s">
        <v>64</v>
      </c>
      <c r="G916">
        <v>4</v>
      </c>
      <c r="H916">
        <v>144</v>
      </c>
      <c r="I916" s="1">
        <f t="shared" si="14"/>
        <v>0.0277777777777778</v>
      </c>
      <c r="J916" t="s">
        <v>125</v>
      </c>
      <c r="K916" t="s">
        <v>126</v>
      </c>
      <c r="L916" t="s">
        <v>124</v>
      </c>
      <c r="M916" t="s">
        <v>213</v>
      </c>
      <c r="N916" t="s">
        <v>50</v>
      </c>
    </row>
    <row r="917" spans="1:14">
      <c r="A917">
        <v>36680118</v>
      </c>
      <c r="B917" t="s">
        <v>766</v>
      </c>
      <c r="C917">
        <v>2022</v>
      </c>
      <c r="D917" t="s">
        <v>124</v>
      </c>
      <c r="E917" t="s">
        <v>77</v>
      </c>
      <c r="F917" t="s">
        <v>64</v>
      </c>
      <c r="G917">
        <v>7</v>
      </c>
      <c r="H917">
        <v>89</v>
      </c>
      <c r="I917" s="1">
        <f t="shared" si="14"/>
        <v>0.0786516853932584</v>
      </c>
      <c r="J917" t="s">
        <v>125</v>
      </c>
      <c r="K917" t="s">
        <v>126</v>
      </c>
      <c r="L917" t="s">
        <v>124</v>
      </c>
      <c r="M917" t="s">
        <v>29</v>
      </c>
      <c r="N917" t="s">
        <v>30</v>
      </c>
    </row>
    <row r="918" spans="1:14">
      <c r="A918">
        <v>36682802</v>
      </c>
      <c r="B918" t="s">
        <v>721</v>
      </c>
      <c r="C918">
        <v>2023</v>
      </c>
      <c r="D918" t="s">
        <v>537</v>
      </c>
      <c r="E918" t="s">
        <v>77</v>
      </c>
      <c r="F918" t="s">
        <v>64</v>
      </c>
      <c r="G918">
        <v>43</v>
      </c>
      <c r="H918">
        <v>256</v>
      </c>
      <c r="I918" s="1">
        <f t="shared" si="14"/>
        <v>0.16796875</v>
      </c>
      <c r="J918" t="s">
        <v>94</v>
      </c>
      <c r="K918" t="s">
        <v>95</v>
      </c>
      <c r="L918" t="s">
        <v>537</v>
      </c>
      <c r="M918" t="s">
        <v>68</v>
      </c>
      <c r="N918" t="s">
        <v>30</v>
      </c>
    </row>
    <row r="919" spans="1:14">
      <c r="A919">
        <v>36682802</v>
      </c>
      <c r="B919" t="s">
        <v>721</v>
      </c>
      <c r="C919">
        <v>2023</v>
      </c>
      <c r="D919" t="s">
        <v>93</v>
      </c>
      <c r="E919" t="s">
        <v>77</v>
      </c>
      <c r="F919" t="s">
        <v>64</v>
      </c>
      <c r="G919">
        <v>21</v>
      </c>
      <c r="H919">
        <v>254</v>
      </c>
      <c r="I919" s="1">
        <f t="shared" si="14"/>
        <v>0.0826771653543307</v>
      </c>
      <c r="J919" t="s">
        <v>94</v>
      </c>
      <c r="K919" t="s">
        <v>95</v>
      </c>
      <c r="L919" t="s">
        <v>93</v>
      </c>
      <c r="M919" t="s">
        <v>68</v>
      </c>
      <c r="N919" t="s">
        <v>30</v>
      </c>
    </row>
    <row r="920" spans="1:14">
      <c r="A920">
        <v>36688676</v>
      </c>
      <c r="B920" t="s">
        <v>767</v>
      </c>
      <c r="C920">
        <v>2023</v>
      </c>
      <c r="D920" t="s">
        <v>195</v>
      </c>
      <c r="E920" t="s">
        <v>51</v>
      </c>
      <c r="F920" t="s">
        <v>64</v>
      </c>
      <c r="G920">
        <v>3</v>
      </c>
      <c r="H920">
        <v>3</v>
      </c>
      <c r="I920" s="1">
        <f t="shared" si="14"/>
        <v>1</v>
      </c>
      <c r="J920" t="s">
        <v>85</v>
      </c>
      <c r="K920" t="s">
        <v>86</v>
      </c>
      <c r="L920" t="s">
        <v>195</v>
      </c>
      <c r="M920" t="s">
        <v>108</v>
      </c>
      <c r="N920" t="s">
        <v>50</v>
      </c>
    </row>
    <row r="921" spans="1:14">
      <c r="A921">
        <v>36774498</v>
      </c>
      <c r="B921" t="s">
        <v>768</v>
      </c>
      <c r="C921">
        <v>2023</v>
      </c>
      <c r="D921" t="s">
        <v>115</v>
      </c>
      <c r="E921" t="s">
        <v>51</v>
      </c>
      <c r="F921" t="s">
        <v>64</v>
      </c>
      <c r="G921">
        <v>2</v>
      </c>
      <c r="H921">
        <v>630</v>
      </c>
      <c r="I921" s="1">
        <f t="shared" si="14"/>
        <v>0.00317460317460317</v>
      </c>
      <c r="J921" t="s">
        <v>38</v>
      </c>
      <c r="K921" t="s">
        <v>39</v>
      </c>
      <c r="L921" t="s">
        <v>115</v>
      </c>
      <c r="M921" t="s">
        <v>618</v>
      </c>
      <c r="N921" t="s">
        <v>30</v>
      </c>
    </row>
    <row r="922" spans="1:14">
      <c r="A922">
        <v>36786106</v>
      </c>
      <c r="B922" t="s">
        <v>769</v>
      </c>
      <c r="C922">
        <v>2023</v>
      </c>
      <c r="D922" t="s">
        <v>93</v>
      </c>
      <c r="E922" t="s">
        <v>77</v>
      </c>
      <c r="F922" t="s">
        <v>64</v>
      </c>
      <c r="G922">
        <v>1</v>
      </c>
      <c r="H922">
        <v>9</v>
      </c>
      <c r="I922" s="1">
        <f t="shared" si="14"/>
        <v>0.111111111111111</v>
      </c>
      <c r="J922" t="s">
        <v>94</v>
      </c>
      <c r="K922" t="s">
        <v>95</v>
      </c>
      <c r="L922" t="s">
        <v>93</v>
      </c>
      <c r="M922" t="s">
        <v>770</v>
      </c>
      <c r="N922" t="s">
        <v>30</v>
      </c>
    </row>
    <row r="923" spans="1:14">
      <c r="A923">
        <v>36786106</v>
      </c>
      <c r="B923" t="s">
        <v>769</v>
      </c>
      <c r="C923">
        <v>2023</v>
      </c>
      <c r="D923" t="s">
        <v>249</v>
      </c>
      <c r="E923" t="s">
        <v>77</v>
      </c>
      <c r="F923" t="s">
        <v>64</v>
      </c>
      <c r="G923">
        <v>2</v>
      </c>
      <c r="H923">
        <v>9</v>
      </c>
      <c r="I923" s="1">
        <f t="shared" si="14"/>
        <v>0.222222222222222</v>
      </c>
      <c r="J923" t="s">
        <v>250</v>
      </c>
      <c r="K923" t="s">
        <v>251</v>
      </c>
      <c r="L923" t="s">
        <v>249</v>
      </c>
      <c r="M923" t="s">
        <v>770</v>
      </c>
      <c r="N923" t="s">
        <v>30</v>
      </c>
    </row>
    <row r="924" spans="1:14">
      <c r="A924">
        <v>36786106</v>
      </c>
      <c r="B924" t="s">
        <v>769</v>
      </c>
      <c r="C924">
        <v>2023</v>
      </c>
      <c r="D924" t="s">
        <v>83</v>
      </c>
      <c r="E924" t="s">
        <v>77</v>
      </c>
      <c r="F924" t="s">
        <v>64</v>
      </c>
      <c r="G924">
        <v>1</v>
      </c>
      <c r="H924">
        <v>9</v>
      </c>
      <c r="I924" s="1">
        <f t="shared" si="14"/>
        <v>0.111111111111111</v>
      </c>
      <c r="J924" t="s">
        <v>55</v>
      </c>
      <c r="K924" t="s">
        <v>56</v>
      </c>
      <c r="L924" t="s">
        <v>83</v>
      </c>
      <c r="M924" t="s">
        <v>770</v>
      </c>
      <c r="N924" t="s">
        <v>30</v>
      </c>
    </row>
    <row r="925" spans="1:14">
      <c r="A925">
        <v>36792213</v>
      </c>
      <c r="B925" t="s">
        <v>771</v>
      </c>
      <c r="C925">
        <v>2023</v>
      </c>
      <c r="D925" t="s">
        <v>772</v>
      </c>
      <c r="E925" t="s">
        <v>77</v>
      </c>
      <c r="F925" t="s">
        <v>17</v>
      </c>
      <c r="G925">
        <v>70</v>
      </c>
      <c r="H925">
        <v>264</v>
      </c>
      <c r="I925" s="1">
        <f t="shared" si="14"/>
        <v>0.265151515151515</v>
      </c>
      <c r="J925" t="s">
        <v>60</v>
      </c>
      <c r="K925" t="s">
        <v>527</v>
      </c>
      <c r="L925" t="s">
        <v>772</v>
      </c>
      <c r="M925" t="s">
        <v>68</v>
      </c>
      <c r="N925" t="s">
        <v>30</v>
      </c>
    </row>
    <row r="926" spans="1:14">
      <c r="A926">
        <v>36851673</v>
      </c>
      <c r="B926" t="s">
        <v>773</v>
      </c>
      <c r="C926">
        <v>2023</v>
      </c>
      <c r="D926" t="s">
        <v>462</v>
      </c>
      <c r="E926" t="s">
        <v>77</v>
      </c>
      <c r="F926" t="s">
        <v>17</v>
      </c>
      <c r="G926">
        <v>75</v>
      </c>
      <c r="H926">
        <v>406</v>
      </c>
      <c r="I926" s="1">
        <f t="shared" si="14"/>
        <v>0.184729064039409</v>
      </c>
      <c r="J926" t="s">
        <v>55</v>
      </c>
      <c r="K926" t="s">
        <v>56</v>
      </c>
      <c r="L926" t="s">
        <v>462</v>
      </c>
      <c r="M926" t="s">
        <v>62</v>
      </c>
      <c r="N926" t="s">
        <v>50</v>
      </c>
    </row>
    <row r="927" spans="1:14">
      <c r="A927">
        <v>36851673</v>
      </c>
      <c r="B927" t="s">
        <v>773</v>
      </c>
      <c r="C927">
        <v>2023</v>
      </c>
      <c r="D927" t="s">
        <v>53</v>
      </c>
      <c r="E927" t="s">
        <v>77</v>
      </c>
      <c r="F927" t="s">
        <v>17</v>
      </c>
      <c r="G927">
        <v>35</v>
      </c>
      <c r="H927">
        <v>406</v>
      </c>
      <c r="I927" s="1">
        <f t="shared" si="14"/>
        <v>0.0862068965517241</v>
      </c>
      <c r="J927" t="s">
        <v>55</v>
      </c>
      <c r="K927" t="s">
        <v>56</v>
      </c>
      <c r="L927" t="s">
        <v>53</v>
      </c>
      <c r="M927" t="s">
        <v>62</v>
      </c>
      <c r="N927" t="s">
        <v>50</v>
      </c>
    </row>
    <row r="928" spans="1:14">
      <c r="A928">
        <v>36880345</v>
      </c>
      <c r="B928" t="s">
        <v>774</v>
      </c>
      <c r="C928">
        <v>2023</v>
      </c>
      <c r="D928" t="s">
        <v>195</v>
      </c>
      <c r="E928" t="s">
        <v>51</v>
      </c>
      <c r="F928" t="s">
        <v>28</v>
      </c>
      <c r="G928">
        <v>3</v>
      </c>
      <c r="H928">
        <v>3</v>
      </c>
      <c r="I928" s="1">
        <f t="shared" si="14"/>
        <v>1</v>
      </c>
      <c r="J928" t="s">
        <v>85</v>
      </c>
      <c r="K928" t="s">
        <v>86</v>
      </c>
      <c r="L928" t="s">
        <v>195</v>
      </c>
      <c r="M928" t="s">
        <v>96</v>
      </c>
      <c r="N928" t="s">
        <v>21</v>
      </c>
    </row>
    <row r="929" spans="1:14">
      <c r="A929">
        <v>36889484</v>
      </c>
      <c r="B929" t="s">
        <v>775</v>
      </c>
      <c r="C929">
        <v>2023</v>
      </c>
      <c r="D929" t="s">
        <v>195</v>
      </c>
      <c r="E929" t="s">
        <v>51</v>
      </c>
      <c r="F929" t="s">
        <v>64</v>
      </c>
      <c r="G929">
        <v>2</v>
      </c>
      <c r="H929">
        <v>2</v>
      </c>
      <c r="I929" s="1">
        <f t="shared" si="14"/>
        <v>1</v>
      </c>
      <c r="J929" t="s">
        <v>85</v>
      </c>
      <c r="K929" t="s">
        <v>86</v>
      </c>
      <c r="L929" t="s">
        <v>195</v>
      </c>
      <c r="M929" t="s">
        <v>148</v>
      </c>
      <c r="N929" t="s">
        <v>50</v>
      </c>
    </row>
    <row r="930" spans="1:14">
      <c r="A930">
        <v>36899788</v>
      </c>
      <c r="B930" t="s">
        <v>776</v>
      </c>
      <c r="C930">
        <v>2023</v>
      </c>
      <c r="D930" t="s">
        <v>110</v>
      </c>
      <c r="E930" t="s">
        <v>51</v>
      </c>
      <c r="F930" t="s">
        <v>64</v>
      </c>
      <c r="G930">
        <v>3</v>
      </c>
      <c r="H930">
        <v>12</v>
      </c>
      <c r="I930" s="1">
        <f t="shared" si="14"/>
        <v>0.25</v>
      </c>
      <c r="J930" t="s">
        <v>43</v>
      </c>
      <c r="K930" t="s">
        <v>44</v>
      </c>
      <c r="L930" t="s">
        <v>110</v>
      </c>
      <c r="M930" t="s">
        <v>75</v>
      </c>
      <c r="N930" t="s">
        <v>50</v>
      </c>
    </row>
    <row r="931" spans="1:14">
      <c r="A931">
        <v>36985140</v>
      </c>
      <c r="B931" t="s">
        <v>777</v>
      </c>
      <c r="C931">
        <v>2023</v>
      </c>
      <c r="D931" t="s">
        <v>277</v>
      </c>
      <c r="E931" t="s">
        <v>77</v>
      </c>
      <c r="F931" t="s">
        <v>64</v>
      </c>
      <c r="G931">
        <v>2</v>
      </c>
      <c r="H931">
        <v>197</v>
      </c>
      <c r="I931" s="1">
        <f t="shared" si="14"/>
        <v>0.0101522842639594</v>
      </c>
      <c r="J931" t="s">
        <v>278</v>
      </c>
      <c r="K931" t="s">
        <v>279</v>
      </c>
      <c r="L931" t="s">
        <v>277</v>
      </c>
      <c r="M931" t="s">
        <v>49</v>
      </c>
      <c r="N931" t="s">
        <v>50</v>
      </c>
    </row>
    <row r="932" spans="1:14">
      <c r="A932">
        <v>36986312</v>
      </c>
      <c r="B932" t="s">
        <v>778</v>
      </c>
      <c r="C932">
        <v>2023</v>
      </c>
      <c r="D932" t="s">
        <v>115</v>
      </c>
      <c r="E932" t="s">
        <v>16</v>
      </c>
      <c r="F932" t="s">
        <v>64</v>
      </c>
      <c r="G932">
        <v>8</v>
      </c>
      <c r="H932">
        <v>102</v>
      </c>
      <c r="I932" s="1">
        <f t="shared" si="14"/>
        <v>0.0784313725490196</v>
      </c>
      <c r="J932" t="s">
        <v>38</v>
      </c>
      <c r="K932" t="s">
        <v>39</v>
      </c>
      <c r="L932" t="s">
        <v>115</v>
      </c>
      <c r="M932" t="s">
        <v>49</v>
      </c>
      <c r="N932" t="s">
        <v>50</v>
      </c>
    </row>
    <row r="933" spans="1:14">
      <c r="A933">
        <v>36986312</v>
      </c>
      <c r="B933" t="s">
        <v>778</v>
      </c>
      <c r="C933">
        <v>2023</v>
      </c>
      <c r="D933" t="s">
        <v>22</v>
      </c>
      <c r="E933" t="s">
        <v>16</v>
      </c>
      <c r="F933" t="s">
        <v>64</v>
      </c>
      <c r="G933">
        <v>7</v>
      </c>
      <c r="H933">
        <v>102</v>
      </c>
      <c r="I933" s="1">
        <f t="shared" si="14"/>
        <v>0.0686274509803922</v>
      </c>
      <c r="J933" t="s">
        <v>23</v>
      </c>
      <c r="K933" t="s">
        <v>24</v>
      </c>
      <c r="L933" t="s">
        <v>22</v>
      </c>
      <c r="M933" t="s">
        <v>49</v>
      </c>
      <c r="N933" t="s">
        <v>50</v>
      </c>
    </row>
    <row r="934" spans="1:14">
      <c r="A934">
        <v>37029274</v>
      </c>
      <c r="B934" t="s">
        <v>732</v>
      </c>
      <c r="C934">
        <v>2023</v>
      </c>
      <c r="D934" t="s">
        <v>124</v>
      </c>
      <c r="E934" t="s">
        <v>77</v>
      </c>
      <c r="F934" t="s">
        <v>64</v>
      </c>
      <c r="G934">
        <v>55</v>
      </c>
      <c r="H934">
        <v>506</v>
      </c>
      <c r="I934" s="1">
        <f t="shared" si="14"/>
        <v>0.108695652173913</v>
      </c>
      <c r="J934" t="s">
        <v>125</v>
      </c>
      <c r="K934" t="s">
        <v>126</v>
      </c>
      <c r="L934" t="s">
        <v>124</v>
      </c>
      <c r="M934" t="s">
        <v>49</v>
      </c>
      <c r="N934" t="s">
        <v>50</v>
      </c>
    </row>
    <row r="935" spans="1:14">
      <c r="A935">
        <v>37110256</v>
      </c>
      <c r="B935" t="s">
        <v>779</v>
      </c>
      <c r="C935">
        <v>2023</v>
      </c>
      <c r="D935" t="s">
        <v>124</v>
      </c>
      <c r="E935" t="s">
        <v>51</v>
      </c>
      <c r="F935" t="s">
        <v>64</v>
      </c>
      <c r="G935">
        <v>0</v>
      </c>
      <c r="H935">
        <v>692</v>
      </c>
      <c r="I935" s="1">
        <f t="shared" si="14"/>
        <v>0</v>
      </c>
      <c r="J935" t="s">
        <v>125</v>
      </c>
      <c r="K935" t="s">
        <v>126</v>
      </c>
      <c r="L935" t="s">
        <v>124</v>
      </c>
      <c r="M935" t="s">
        <v>160</v>
      </c>
      <c r="N935" t="s">
        <v>50</v>
      </c>
    </row>
    <row r="936" spans="1:14">
      <c r="A936">
        <v>37112861</v>
      </c>
      <c r="B936" t="s">
        <v>780</v>
      </c>
      <c r="C936">
        <v>2023</v>
      </c>
      <c r="D936" t="s">
        <v>395</v>
      </c>
      <c r="E936" t="s">
        <v>167</v>
      </c>
      <c r="F936" t="s">
        <v>64</v>
      </c>
      <c r="G936">
        <v>0</v>
      </c>
      <c r="H936">
        <v>117</v>
      </c>
      <c r="I936" s="1">
        <f t="shared" si="14"/>
        <v>0</v>
      </c>
      <c r="J936" t="s">
        <v>231</v>
      </c>
      <c r="K936" t="s">
        <v>61</v>
      </c>
      <c r="L936" t="s">
        <v>395</v>
      </c>
      <c r="M936" t="s">
        <v>352</v>
      </c>
      <c r="N936" t="s">
        <v>50</v>
      </c>
    </row>
    <row r="937" spans="1:14">
      <c r="A937">
        <v>37112861</v>
      </c>
      <c r="B937" t="s">
        <v>780</v>
      </c>
      <c r="C937">
        <v>2023</v>
      </c>
      <c r="D937" t="s">
        <v>680</v>
      </c>
      <c r="E937" t="s">
        <v>167</v>
      </c>
      <c r="F937" t="s">
        <v>64</v>
      </c>
      <c r="G937">
        <v>0</v>
      </c>
      <c r="H937">
        <v>117</v>
      </c>
      <c r="I937" s="1">
        <f t="shared" si="14"/>
        <v>0</v>
      </c>
      <c r="J937" t="s">
        <v>231</v>
      </c>
      <c r="K937" t="s">
        <v>61</v>
      </c>
      <c r="L937" t="s">
        <v>680</v>
      </c>
      <c r="M937" t="s">
        <v>352</v>
      </c>
      <c r="N937" t="s">
        <v>50</v>
      </c>
    </row>
    <row r="938" spans="1:14">
      <c r="A938">
        <v>37112861</v>
      </c>
      <c r="B938" t="s">
        <v>780</v>
      </c>
      <c r="C938">
        <v>2023</v>
      </c>
      <c r="D938" t="s">
        <v>230</v>
      </c>
      <c r="E938" t="s">
        <v>167</v>
      </c>
      <c r="F938" t="s">
        <v>64</v>
      </c>
      <c r="G938">
        <v>1</v>
      </c>
      <c r="H938">
        <v>117</v>
      </c>
      <c r="I938" s="1">
        <f t="shared" si="14"/>
        <v>0.00854700854700855</v>
      </c>
      <c r="J938" t="s">
        <v>231</v>
      </c>
      <c r="K938" t="s">
        <v>61</v>
      </c>
      <c r="L938" t="s">
        <v>230</v>
      </c>
      <c r="M938" t="s">
        <v>352</v>
      </c>
      <c r="N938" t="s">
        <v>50</v>
      </c>
    </row>
    <row r="939" spans="1:14">
      <c r="A939">
        <v>37251267</v>
      </c>
      <c r="B939" t="s">
        <v>781</v>
      </c>
      <c r="C939">
        <v>2023</v>
      </c>
      <c r="D939" t="s">
        <v>15</v>
      </c>
      <c r="E939" t="s">
        <v>77</v>
      </c>
      <c r="F939" t="s">
        <v>64</v>
      </c>
      <c r="G939">
        <v>33</v>
      </c>
      <c r="H939">
        <v>77</v>
      </c>
      <c r="I939" s="1">
        <f t="shared" si="14"/>
        <v>0.428571428571429</v>
      </c>
      <c r="J939" t="s">
        <v>18</v>
      </c>
      <c r="K939" t="s">
        <v>19</v>
      </c>
      <c r="L939" t="s">
        <v>15</v>
      </c>
      <c r="M939" t="s">
        <v>590</v>
      </c>
      <c r="N939" t="s">
        <v>350</v>
      </c>
    </row>
    <row r="940" spans="1:14">
      <c r="A940">
        <v>37264455</v>
      </c>
      <c r="B940" t="s">
        <v>782</v>
      </c>
      <c r="C940">
        <v>2023</v>
      </c>
      <c r="D940" t="s">
        <v>15</v>
      </c>
      <c r="E940" t="s">
        <v>16</v>
      </c>
      <c r="F940" t="s">
        <v>64</v>
      </c>
      <c r="G940">
        <v>0</v>
      </c>
      <c r="H940">
        <v>4</v>
      </c>
      <c r="I940" s="1">
        <f t="shared" si="14"/>
        <v>0</v>
      </c>
      <c r="J940" t="s">
        <v>18</v>
      </c>
      <c r="K940" t="s">
        <v>19</v>
      </c>
      <c r="L940" t="s">
        <v>15</v>
      </c>
      <c r="M940" t="s">
        <v>49</v>
      </c>
      <c r="N940" t="s">
        <v>50</v>
      </c>
    </row>
    <row r="941" spans="1:14">
      <c r="A941">
        <v>37264455</v>
      </c>
      <c r="B941" t="s">
        <v>782</v>
      </c>
      <c r="C941">
        <v>2023</v>
      </c>
      <c r="D941" t="s">
        <v>15</v>
      </c>
      <c r="E941" t="s">
        <v>51</v>
      </c>
      <c r="F941" t="s">
        <v>64</v>
      </c>
      <c r="G941">
        <v>1</v>
      </c>
      <c r="H941">
        <v>27</v>
      </c>
      <c r="I941" s="1">
        <f t="shared" si="14"/>
        <v>0.037037037037037</v>
      </c>
      <c r="J941" t="s">
        <v>18</v>
      </c>
      <c r="K941" t="s">
        <v>19</v>
      </c>
      <c r="L941" t="s">
        <v>15</v>
      </c>
      <c r="M941" t="s">
        <v>49</v>
      </c>
      <c r="N941" t="s">
        <v>50</v>
      </c>
    </row>
    <row r="942" spans="1:14">
      <c r="A942">
        <v>37312154</v>
      </c>
      <c r="B942" t="s">
        <v>382</v>
      </c>
      <c r="C942">
        <v>2023</v>
      </c>
      <c r="D942" t="s">
        <v>15</v>
      </c>
      <c r="E942" t="s">
        <v>77</v>
      </c>
      <c r="F942" t="s">
        <v>17</v>
      </c>
      <c r="G942">
        <v>29</v>
      </c>
      <c r="H942">
        <v>1383</v>
      </c>
      <c r="I942" s="1">
        <f t="shared" si="14"/>
        <v>0.0209689081706435</v>
      </c>
      <c r="J942" t="s">
        <v>18</v>
      </c>
      <c r="K942" t="s">
        <v>19</v>
      </c>
      <c r="L942" t="s">
        <v>15</v>
      </c>
      <c r="M942" t="s">
        <v>68</v>
      </c>
      <c r="N942" t="s">
        <v>30</v>
      </c>
    </row>
    <row r="943" spans="1:14">
      <c r="A943">
        <v>37333575</v>
      </c>
      <c r="B943" t="s">
        <v>783</v>
      </c>
      <c r="C943">
        <v>2022</v>
      </c>
      <c r="D943" t="s">
        <v>139</v>
      </c>
      <c r="E943" t="s">
        <v>16</v>
      </c>
      <c r="F943" t="s">
        <v>64</v>
      </c>
      <c r="G943">
        <v>0</v>
      </c>
      <c r="H943">
        <v>393</v>
      </c>
      <c r="I943" s="1">
        <f t="shared" si="14"/>
        <v>0</v>
      </c>
      <c r="J943" t="s">
        <v>80</v>
      </c>
      <c r="K943" t="s">
        <v>113</v>
      </c>
      <c r="L943" t="s">
        <v>139</v>
      </c>
      <c r="M943" t="s">
        <v>96</v>
      </c>
      <c r="N943" t="s">
        <v>21</v>
      </c>
    </row>
    <row r="944" spans="1:14">
      <c r="A944">
        <v>37333575</v>
      </c>
      <c r="B944" t="s">
        <v>783</v>
      </c>
      <c r="C944">
        <v>2022</v>
      </c>
      <c r="D944" t="s">
        <v>139</v>
      </c>
      <c r="E944" t="s">
        <v>51</v>
      </c>
      <c r="F944" t="s">
        <v>64</v>
      </c>
      <c r="G944">
        <v>0</v>
      </c>
      <c r="H944">
        <v>11</v>
      </c>
      <c r="I944" s="1">
        <f t="shared" si="14"/>
        <v>0</v>
      </c>
      <c r="J944" t="s">
        <v>80</v>
      </c>
      <c r="K944" t="s">
        <v>113</v>
      </c>
      <c r="L944" t="s">
        <v>139</v>
      </c>
      <c r="M944" t="s">
        <v>96</v>
      </c>
      <c r="N944" t="s">
        <v>21</v>
      </c>
    </row>
    <row r="945" spans="1:14">
      <c r="A945">
        <v>37356181</v>
      </c>
      <c r="B945" t="s">
        <v>784</v>
      </c>
      <c r="C945">
        <v>2023</v>
      </c>
      <c r="D945" t="s">
        <v>53</v>
      </c>
      <c r="E945" t="s">
        <v>48</v>
      </c>
      <c r="F945" t="s">
        <v>28</v>
      </c>
      <c r="G945">
        <v>0</v>
      </c>
      <c r="H945">
        <v>3</v>
      </c>
      <c r="I945" s="1">
        <f t="shared" si="14"/>
        <v>0</v>
      </c>
      <c r="J945" t="s">
        <v>55</v>
      </c>
      <c r="K945" t="s">
        <v>56</v>
      </c>
      <c r="L945" t="s">
        <v>53</v>
      </c>
      <c r="M945" t="s">
        <v>49</v>
      </c>
      <c r="N945" t="s">
        <v>50</v>
      </c>
    </row>
    <row r="946" spans="1:14">
      <c r="A946">
        <v>37356181</v>
      </c>
      <c r="B946" t="s">
        <v>784</v>
      </c>
      <c r="C946">
        <v>2023</v>
      </c>
      <c r="D946" t="s">
        <v>53</v>
      </c>
      <c r="E946" t="s">
        <v>77</v>
      </c>
      <c r="F946" t="s">
        <v>28</v>
      </c>
      <c r="G946">
        <v>219</v>
      </c>
      <c r="H946">
        <v>1208</v>
      </c>
      <c r="I946" s="1">
        <f t="shared" si="14"/>
        <v>0.181291390728477</v>
      </c>
      <c r="J946" t="s">
        <v>55</v>
      </c>
      <c r="K946" t="s">
        <v>56</v>
      </c>
      <c r="L946" t="s">
        <v>53</v>
      </c>
      <c r="M946" t="s">
        <v>49</v>
      </c>
      <c r="N946" t="s">
        <v>50</v>
      </c>
    </row>
    <row r="947" spans="1:14">
      <c r="A947">
        <v>37356181</v>
      </c>
      <c r="B947" t="s">
        <v>784</v>
      </c>
      <c r="C947">
        <v>2023</v>
      </c>
      <c r="D947" t="s">
        <v>53</v>
      </c>
      <c r="E947" t="s">
        <v>16</v>
      </c>
      <c r="F947" t="s">
        <v>28</v>
      </c>
      <c r="G947">
        <v>0</v>
      </c>
      <c r="H947">
        <v>3</v>
      </c>
      <c r="I947" s="1">
        <f t="shared" si="14"/>
        <v>0</v>
      </c>
      <c r="J947" t="s">
        <v>55</v>
      </c>
      <c r="K947" t="s">
        <v>56</v>
      </c>
      <c r="L947" t="s">
        <v>53</v>
      </c>
      <c r="M947" t="s">
        <v>49</v>
      </c>
      <c r="N947" t="s">
        <v>50</v>
      </c>
    </row>
    <row r="948" spans="1:14">
      <c r="A948">
        <v>37356181</v>
      </c>
      <c r="B948" t="s">
        <v>784</v>
      </c>
      <c r="C948">
        <v>2023</v>
      </c>
      <c r="D948" t="s">
        <v>53</v>
      </c>
      <c r="E948" t="s">
        <v>51</v>
      </c>
      <c r="F948" t="s">
        <v>28</v>
      </c>
      <c r="G948">
        <v>0</v>
      </c>
      <c r="H948">
        <v>9</v>
      </c>
      <c r="I948" s="1">
        <f t="shared" si="14"/>
        <v>0</v>
      </c>
      <c r="J948" t="s">
        <v>55</v>
      </c>
      <c r="K948" t="s">
        <v>56</v>
      </c>
      <c r="L948" t="s">
        <v>53</v>
      </c>
      <c r="M948" t="s">
        <v>49</v>
      </c>
      <c r="N948" t="s">
        <v>50</v>
      </c>
    </row>
    <row r="949" spans="1:14">
      <c r="A949">
        <v>37363231</v>
      </c>
      <c r="B949" t="s">
        <v>785</v>
      </c>
      <c r="C949">
        <v>2023</v>
      </c>
      <c r="D949" t="s">
        <v>57</v>
      </c>
      <c r="E949" t="s">
        <v>77</v>
      </c>
      <c r="F949" t="s">
        <v>28</v>
      </c>
      <c r="G949">
        <v>344</v>
      </c>
      <c r="H949">
        <v>1250</v>
      </c>
      <c r="I949" s="1">
        <f t="shared" si="14"/>
        <v>0.2752</v>
      </c>
      <c r="J949" t="s">
        <v>55</v>
      </c>
      <c r="K949" t="s">
        <v>56</v>
      </c>
      <c r="L949" t="s">
        <v>57</v>
      </c>
      <c r="M949" t="s">
        <v>78</v>
      </c>
      <c r="N949" t="s">
        <v>50</v>
      </c>
    </row>
    <row r="950" spans="1:14">
      <c r="A950">
        <v>37375523</v>
      </c>
      <c r="B950" t="s">
        <v>779</v>
      </c>
      <c r="C950">
        <v>2023</v>
      </c>
      <c r="D950" t="s">
        <v>22</v>
      </c>
      <c r="E950" t="s">
        <v>51</v>
      </c>
      <c r="F950" t="s">
        <v>64</v>
      </c>
      <c r="G950">
        <v>4</v>
      </c>
      <c r="H950">
        <v>176</v>
      </c>
      <c r="I950" s="1">
        <f t="shared" si="14"/>
        <v>0.0227272727272727</v>
      </c>
      <c r="J950" t="s">
        <v>23</v>
      </c>
      <c r="K950" t="s">
        <v>24</v>
      </c>
      <c r="L950" t="s">
        <v>22</v>
      </c>
      <c r="M950" t="s">
        <v>172</v>
      </c>
      <c r="N950" t="s">
        <v>50</v>
      </c>
    </row>
    <row r="951" spans="1:14">
      <c r="A951">
        <v>37433351</v>
      </c>
      <c r="B951" t="s">
        <v>597</v>
      </c>
      <c r="C951">
        <v>2023</v>
      </c>
      <c r="D951" t="s">
        <v>786</v>
      </c>
      <c r="E951" t="s">
        <v>167</v>
      </c>
      <c r="F951" t="s">
        <v>64</v>
      </c>
      <c r="G951">
        <v>8</v>
      </c>
      <c r="H951">
        <v>73</v>
      </c>
      <c r="I951" s="1">
        <f t="shared" si="14"/>
        <v>0.10958904109589</v>
      </c>
      <c r="J951" t="s">
        <v>598</v>
      </c>
      <c r="K951" t="s">
        <v>279</v>
      </c>
      <c r="L951" t="s">
        <v>786</v>
      </c>
      <c r="M951" t="s">
        <v>366</v>
      </c>
      <c r="N951" t="s">
        <v>50</v>
      </c>
    </row>
    <row r="952" spans="1:14">
      <c r="A952">
        <v>37452391</v>
      </c>
      <c r="B952" t="s">
        <v>697</v>
      </c>
      <c r="C952">
        <v>2023</v>
      </c>
      <c r="D952" t="s">
        <v>22</v>
      </c>
      <c r="E952" t="s">
        <v>51</v>
      </c>
      <c r="F952" t="s">
        <v>28</v>
      </c>
      <c r="G952">
        <v>1</v>
      </c>
      <c r="H952">
        <v>38</v>
      </c>
      <c r="I952" s="1">
        <f t="shared" si="14"/>
        <v>0.0263157894736842</v>
      </c>
      <c r="J952" t="s">
        <v>23</v>
      </c>
      <c r="K952" t="s">
        <v>24</v>
      </c>
      <c r="L952" t="s">
        <v>22</v>
      </c>
      <c r="M952" t="s">
        <v>75</v>
      </c>
      <c r="N952" t="s">
        <v>50</v>
      </c>
    </row>
    <row r="953" spans="1:14">
      <c r="A953">
        <v>37452391</v>
      </c>
      <c r="B953" t="s">
        <v>697</v>
      </c>
      <c r="C953">
        <v>2023</v>
      </c>
      <c r="D953" t="s">
        <v>124</v>
      </c>
      <c r="E953" t="s">
        <v>51</v>
      </c>
      <c r="F953" t="s">
        <v>28</v>
      </c>
      <c r="G953">
        <v>8</v>
      </c>
      <c r="H953">
        <v>38</v>
      </c>
      <c r="I953" s="1">
        <f t="shared" si="14"/>
        <v>0.210526315789474</v>
      </c>
      <c r="J953" t="s">
        <v>125</v>
      </c>
      <c r="K953" t="s">
        <v>126</v>
      </c>
      <c r="L953" t="s">
        <v>124</v>
      </c>
      <c r="M953" t="s">
        <v>75</v>
      </c>
      <c r="N953" t="s">
        <v>50</v>
      </c>
    </row>
    <row r="954" spans="1:14">
      <c r="A954">
        <v>37452391</v>
      </c>
      <c r="B954" t="s">
        <v>697</v>
      </c>
      <c r="C954">
        <v>2023</v>
      </c>
      <c r="D954" t="s">
        <v>115</v>
      </c>
      <c r="E954" t="s">
        <v>51</v>
      </c>
      <c r="F954" t="s">
        <v>28</v>
      </c>
      <c r="G954">
        <v>7</v>
      </c>
      <c r="H954">
        <v>38</v>
      </c>
      <c r="I954" s="1">
        <f t="shared" si="14"/>
        <v>0.184210526315789</v>
      </c>
      <c r="J954" t="s">
        <v>38</v>
      </c>
      <c r="K954" t="s">
        <v>39</v>
      </c>
      <c r="L954" t="s">
        <v>115</v>
      </c>
      <c r="M954" t="s">
        <v>75</v>
      </c>
      <c r="N954" t="s">
        <v>50</v>
      </c>
    </row>
    <row r="955" spans="1:14">
      <c r="A955">
        <v>37452391</v>
      </c>
      <c r="B955" t="s">
        <v>697</v>
      </c>
      <c r="C955">
        <v>2023</v>
      </c>
      <c r="D955" t="s">
        <v>15</v>
      </c>
      <c r="E955" t="s">
        <v>51</v>
      </c>
      <c r="F955" t="s">
        <v>28</v>
      </c>
      <c r="G955">
        <v>4</v>
      </c>
      <c r="H955">
        <v>38</v>
      </c>
      <c r="I955" s="1">
        <f t="shared" si="14"/>
        <v>0.105263157894737</v>
      </c>
      <c r="J955" t="s">
        <v>18</v>
      </c>
      <c r="K955" t="s">
        <v>19</v>
      </c>
      <c r="L955" t="s">
        <v>15</v>
      </c>
      <c r="M955" t="s">
        <v>75</v>
      </c>
      <c r="N955" t="s">
        <v>50</v>
      </c>
    </row>
    <row r="956" spans="1:14">
      <c r="A956">
        <v>37489390</v>
      </c>
      <c r="B956" t="s">
        <v>787</v>
      </c>
      <c r="C956">
        <v>2023</v>
      </c>
      <c r="D956" t="s">
        <v>788</v>
      </c>
      <c r="E956" t="s">
        <v>51</v>
      </c>
      <c r="F956" t="s">
        <v>17</v>
      </c>
      <c r="G956">
        <v>1</v>
      </c>
      <c r="H956">
        <v>39</v>
      </c>
      <c r="I956" s="1">
        <f t="shared" si="14"/>
        <v>0.0256410256410256</v>
      </c>
      <c r="J956" t="s">
        <v>60</v>
      </c>
      <c r="K956" t="s">
        <v>527</v>
      </c>
      <c r="L956" t="s">
        <v>788</v>
      </c>
      <c r="M956" t="s">
        <v>20</v>
      </c>
      <c r="N956" t="s">
        <v>21</v>
      </c>
    </row>
    <row r="957" spans="1:14">
      <c r="A957">
        <v>37515222</v>
      </c>
      <c r="B957" t="s">
        <v>789</v>
      </c>
      <c r="C957">
        <v>2023</v>
      </c>
      <c r="D957" t="s">
        <v>22</v>
      </c>
      <c r="E957" t="s">
        <v>16</v>
      </c>
      <c r="F957" t="s">
        <v>64</v>
      </c>
      <c r="G957">
        <v>7</v>
      </c>
      <c r="H957">
        <v>7</v>
      </c>
      <c r="I957" s="1">
        <f t="shared" si="14"/>
        <v>1</v>
      </c>
      <c r="J957" t="s">
        <v>23</v>
      </c>
      <c r="K957" t="s">
        <v>24</v>
      </c>
      <c r="L957" t="s">
        <v>22</v>
      </c>
      <c r="M957" t="s">
        <v>268</v>
      </c>
      <c r="N957" t="s">
        <v>50</v>
      </c>
    </row>
    <row r="958" spans="1:14">
      <c r="A958">
        <v>37552670</v>
      </c>
      <c r="B958" t="s">
        <v>790</v>
      </c>
      <c r="C958">
        <v>2023</v>
      </c>
      <c r="D958" t="s">
        <v>66</v>
      </c>
      <c r="E958" t="s">
        <v>167</v>
      </c>
      <c r="F958" t="s">
        <v>64</v>
      </c>
      <c r="G958">
        <v>0</v>
      </c>
      <c r="H958">
        <v>65</v>
      </c>
      <c r="I958" s="1">
        <f t="shared" si="14"/>
        <v>0</v>
      </c>
      <c r="J958" t="s">
        <v>231</v>
      </c>
      <c r="K958" t="s">
        <v>61</v>
      </c>
      <c r="L958" t="s">
        <v>66</v>
      </c>
      <c r="M958" t="s">
        <v>456</v>
      </c>
      <c r="N958" t="s">
        <v>30</v>
      </c>
    </row>
    <row r="959" spans="1:14">
      <c r="A959">
        <v>37552670</v>
      </c>
      <c r="B959" t="s">
        <v>790</v>
      </c>
      <c r="C959">
        <v>2023</v>
      </c>
      <c r="D959" t="s">
        <v>63</v>
      </c>
      <c r="E959" t="s">
        <v>167</v>
      </c>
      <c r="F959" t="s">
        <v>64</v>
      </c>
      <c r="G959">
        <v>0</v>
      </c>
      <c r="H959">
        <v>65</v>
      </c>
      <c r="I959" s="1">
        <f t="shared" si="14"/>
        <v>0</v>
      </c>
      <c r="J959" t="s">
        <v>231</v>
      </c>
      <c r="K959" t="s">
        <v>61</v>
      </c>
      <c r="L959" t="s">
        <v>63</v>
      </c>
      <c r="M959" t="s">
        <v>456</v>
      </c>
      <c r="N959" t="s">
        <v>30</v>
      </c>
    </row>
    <row r="960" spans="1:14">
      <c r="A960">
        <v>37552670</v>
      </c>
      <c r="B960" t="s">
        <v>790</v>
      </c>
      <c r="C960">
        <v>2023</v>
      </c>
      <c r="D960" t="s">
        <v>791</v>
      </c>
      <c r="E960" t="s">
        <v>167</v>
      </c>
      <c r="F960" t="s">
        <v>64</v>
      </c>
      <c r="G960">
        <v>0</v>
      </c>
      <c r="H960">
        <v>65</v>
      </c>
      <c r="I960" s="1">
        <f t="shared" si="14"/>
        <v>0</v>
      </c>
      <c r="J960" t="s">
        <v>231</v>
      </c>
      <c r="K960" t="s">
        <v>61</v>
      </c>
      <c r="L960" t="s">
        <v>791</v>
      </c>
      <c r="M960" t="s">
        <v>456</v>
      </c>
      <c r="N960" t="s">
        <v>30</v>
      </c>
    </row>
    <row r="961" spans="1:14">
      <c r="A961">
        <v>37588885</v>
      </c>
      <c r="B961" t="s">
        <v>389</v>
      </c>
      <c r="C961">
        <v>2023</v>
      </c>
      <c r="D961" t="s">
        <v>570</v>
      </c>
      <c r="E961" t="s">
        <v>48</v>
      </c>
      <c r="F961" t="s">
        <v>64</v>
      </c>
      <c r="G961">
        <v>54</v>
      </c>
      <c r="H961">
        <v>128</v>
      </c>
      <c r="I961" s="1">
        <f t="shared" si="14"/>
        <v>0.421875</v>
      </c>
      <c r="J961" t="s">
        <v>94</v>
      </c>
      <c r="K961" t="s">
        <v>95</v>
      </c>
      <c r="L961" t="s">
        <v>570</v>
      </c>
      <c r="M961" t="s">
        <v>29</v>
      </c>
      <c r="N961" t="s">
        <v>30</v>
      </c>
    </row>
    <row r="962" spans="1:14">
      <c r="A962">
        <v>37589241</v>
      </c>
      <c r="B962" t="s">
        <v>792</v>
      </c>
      <c r="C962">
        <v>2023</v>
      </c>
      <c r="D962" t="s">
        <v>195</v>
      </c>
      <c r="E962" t="s">
        <v>51</v>
      </c>
      <c r="F962" t="s">
        <v>64</v>
      </c>
      <c r="G962">
        <v>10</v>
      </c>
      <c r="H962">
        <v>24</v>
      </c>
      <c r="I962" s="1">
        <f t="shared" si="14"/>
        <v>0.416666666666667</v>
      </c>
      <c r="J962" t="s">
        <v>85</v>
      </c>
      <c r="K962" t="s">
        <v>86</v>
      </c>
      <c r="L962" t="s">
        <v>195</v>
      </c>
      <c r="M962" t="s">
        <v>20</v>
      </c>
      <c r="N962" t="s">
        <v>21</v>
      </c>
    </row>
    <row r="963" spans="1:14">
      <c r="A963">
        <v>37652223</v>
      </c>
      <c r="B963" t="s">
        <v>793</v>
      </c>
      <c r="C963">
        <v>2023</v>
      </c>
      <c r="D963" t="s">
        <v>22</v>
      </c>
      <c r="E963" t="s">
        <v>16</v>
      </c>
      <c r="F963" t="s">
        <v>64</v>
      </c>
      <c r="G963">
        <v>1</v>
      </c>
      <c r="H963">
        <v>9</v>
      </c>
      <c r="I963" s="1">
        <f t="shared" ref="I963:I1026" si="15">G963/H963</f>
        <v>0.111111111111111</v>
      </c>
      <c r="J963" t="s">
        <v>23</v>
      </c>
      <c r="K963" t="s">
        <v>24</v>
      </c>
      <c r="L963" t="s">
        <v>22</v>
      </c>
      <c r="M963" t="s">
        <v>20</v>
      </c>
      <c r="N963" t="s">
        <v>21</v>
      </c>
    </row>
    <row r="964" spans="1:14">
      <c r="A964">
        <v>37652223</v>
      </c>
      <c r="B964" t="s">
        <v>793</v>
      </c>
      <c r="C964">
        <v>2023</v>
      </c>
      <c r="D964" t="s">
        <v>195</v>
      </c>
      <c r="E964" t="s">
        <v>16</v>
      </c>
      <c r="F964" t="s">
        <v>64</v>
      </c>
      <c r="G964">
        <v>0</v>
      </c>
      <c r="H964">
        <v>9</v>
      </c>
      <c r="I964" s="1">
        <f t="shared" si="15"/>
        <v>0</v>
      </c>
      <c r="J964" t="s">
        <v>85</v>
      </c>
      <c r="K964" t="s">
        <v>86</v>
      </c>
      <c r="L964" t="s">
        <v>195</v>
      </c>
      <c r="M964" t="s">
        <v>20</v>
      </c>
      <c r="N964" t="s">
        <v>21</v>
      </c>
    </row>
    <row r="965" spans="1:14">
      <c r="A965">
        <v>37652223</v>
      </c>
      <c r="B965" t="s">
        <v>793</v>
      </c>
      <c r="C965">
        <v>2023</v>
      </c>
      <c r="D965" t="s">
        <v>110</v>
      </c>
      <c r="E965" t="s">
        <v>16</v>
      </c>
      <c r="F965" t="s">
        <v>64</v>
      </c>
      <c r="G965">
        <v>0</v>
      </c>
      <c r="H965">
        <v>9</v>
      </c>
      <c r="I965" s="1">
        <f t="shared" si="15"/>
        <v>0</v>
      </c>
      <c r="J965" t="s">
        <v>43</v>
      </c>
      <c r="K965" t="s">
        <v>44</v>
      </c>
      <c r="L965" t="s">
        <v>110</v>
      </c>
      <c r="M965" t="s">
        <v>20</v>
      </c>
      <c r="N965" t="s">
        <v>21</v>
      </c>
    </row>
    <row r="966" spans="1:14">
      <c r="A966">
        <v>37660950</v>
      </c>
      <c r="B966" t="s">
        <v>726</v>
      </c>
      <c r="C966">
        <v>2023</v>
      </c>
      <c r="D966" t="s">
        <v>741</v>
      </c>
      <c r="E966" t="s">
        <v>77</v>
      </c>
      <c r="F966" t="s">
        <v>64</v>
      </c>
      <c r="G966">
        <v>0</v>
      </c>
      <c r="H966">
        <v>247</v>
      </c>
      <c r="I966" s="1">
        <f t="shared" si="15"/>
        <v>0</v>
      </c>
      <c r="J966" t="s">
        <v>94</v>
      </c>
      <c r="K966" t="s">
        <v>95</v>
      </c>
      <c r="L966" t="s">
        <v>741</v>
      </c>
      <c r="M966" t="s">
        <v>29</v>
      </c>
      <c r="N966" t="s">
        <v>30</v>
      </c>
    </row>
    <row r="967" spans="1:14">
      <c r="A967">
        <v>37660950</v>
      </c>
      <c r="B967" t="s">
        <v>726</v>
      </c>
      <c r="C967">
        <v>2023</v>
      </c>
      <c r="D967" t="s">
        <v>93</v>
      </c>
      <c r="E967" t="s">
        <v>77</v>
      </c>
      <c r="F967" t="s">
        <v>64</v>
      </c>
      <c r="G967">
        <v>144</v>
      </c>
      <c r="H967">
        <v>247</v>
      </c>
      <c r="I967" s="1">
        <f t="shared" si="15"/>
        <v>0.582995951417004</v>
      </c>
      <c r="J967" t="s">
        <v>94</v>
      </c>
      <c r="K967" t="s">
        <v>95</v>
      </c>
      <c r="L967" t="s">
        <v>93</v>
      </c>
      <c r="M967" t="s">
        <v>29</v>
      </c>
      <c r="N967" t="s">
        <v>30</v>
      </c>
    </row>
    <row r="968" spans="1:14">
      <c r="A968">
        <v>37660950</v>
      </c>
      <c r="B968" t="s">
        <v>726</v>
      </c>
      <c r="C968">
        <v>2023</v>
      </c>
      <c r="D968" t="s">
        <v>205</v>
      </c>
      <c r="E968" t="s">
        <v>77</v>
      </c>
      <c r="F968" t="s">
        <v>64</v>
      </c>
      <c r="G968">
        <v>4</v>
      </c>
      <c r="H968">
        <v>247</v>
      </c>
      <c r="I968" s="1">
        <f t="shared" si="15"/>
        <v>0.0161943319838057</v>
      </c>
      <c r="J968" t="s">
        <v>94</v>
      </c>
      <c r="K968" t="s">
        <v>95</v>
      </c>
      <c r="L968" t="s">
        <v>205</v>
      </c>
      <c r="M968" t="s">
        <v>29</v>
      </c>
      <c r="N968" t="s">
        <v>30</v>
      </c>
    </row>
    <row r="969" spans="1:14">
      <c r="A969">
        <v>37660950</v>
      </c>
      <c r="B969" t="s">
        <v>726</v>
      </c>
      <c r="C969">
        <v>2023</v>
      </c>
      <c r="D969" t="s">
        <v>537</v>
      </c>
      <c r="E969" t="s">
        <v>77</v>
      </c>
      <c r="F969" t="s">
        <v>64</v>
      </c>
      <c r="G969">
        <v>27</v>
      </c>
      <c r="H969">
        <v>247</v>
      </c>
      <c r="I969" s="1">
        <f t="shared" si="15"/>
        <v>0.109311740890688</v>
      </c>
      <c r="J969" t="s">
        <v>94</v>
      </c>
      <c r="K969" t="s">
        <v>95</v>
      </c>
      <c r="L969" t="s">
        <v>537</v>
      </c>
      <c r="M969" t="s">
        <v>29</v>
      </c>
      <c r="N969" t="s">
        <v>30</v>
      </c>
    </row>
    <row r="970" spans="1:14">
      <c r="A970">
        <v>37674004</v>
      </c>
      <c r="B970" t="s">
        <v>794</v>
      </c>
      <c r="C970">
        <v>2023</v>
      </c>
      <c r="D970" t="s">
        <v>139</v>
      </c>
      <c r="E970" t="s">
        <v>51</v>
      </c>
      <c r="F970" t="s">
        <v>64</v>
      </c>
      <c r="G970">
        <v>0</v>
      </c>
      <c r="H970">
        <v>17</v>
      </c>
      <c r="I970" s="1">
        <f t="shared" si="15"/>
        <v>0</v>
      </c>
      <c r="J970" t="s">
        <v>80</v>
      </c>
      <c r="K970" t="s">
        <v>113</v>
      </c>
      <c r="L970" t="s">
        <v>139</v>
      </c>
      <c r="M970" t="s">
        <v>20</v>
      </c>
      <c r="N970" t="s">
        <v>21</v>
      </c>
    </row>
    <row r="971" spans="1:14">
      <c r="A971">
        <v>37708842</v>
      </c>
      <c r="B971" t="s">
        <v>795</v>
      </c>
      <c r="C971">
        <v>2023</v>
      </c>
      <c r="D971" t="s">
        <v>249</v>
      </c>
      <c r="E971" t="s">
        <v>77</v>
      </c>
      <c r="F971" t="s">
        <v>64</v>
      </c>
      <c r="G971">
        <v>1</v>
      </c>
      <c r="H971">
        <v>1</v>
      </c>
      <c r="I971" s="1">
        <f t="shared" si="15"/>
        <v>1</v>
      </c>
      <c r="J971" t="s">
        <v>250</v>
      </c>
      <c r="K971" t="s">
        <v>251</v>
      </c>
      <c r="L971" t="s">
        <v>249</v>
      </c>
      <c r="M971" t="s">
        <v>588</v>
      </c>
      <c r="N971" t="s">
        <v>30</v>
      </c>
    </row>
    <row r="972" spans="1:14">
      <c r="A972">
        <v>37728570</v>
      </c>
      <c r="B972" t="s">
        <v>749</v>
      </c>
      <c r="C972">
        <v>2023</v>
      </c>
      <c r="D972" t="s">
        <v>796</v>
      </c>
      <c r="E972" t="s">
        <v>131</v>
      </c>
      <c r="F972" t="s">
        <v>64</v>
      </c>
      <c r="G972">
        <v>3</v>
      </c>
      <c r="H972">
        <v>9</v>
      </c>
      <c r="I972" s="1">
        <f t="shared" si="15"/>
        <v>0.333333333333333</v>
      </c>
      <c r="J972" t="s">
        <v>797</v>
      </c>
      <c r="K972" t="s">
        <v>39</v>
      </c>
      <c r="L972" t="s">
        <v>796</v>
      </c>
      <c r="M972" t="s">
        <v>612</v>
      </c>
      <c r="N972" t="s">
        <v>50</v>
      </c>
    </row>
    <row r="973" spans="1:14">
      <c r="A973">
        <v>37728570</v>
      </c>
      <c r="B973" t="s">
        <v>749</v>
      </c>
      <c r="C973">
        <v>2023</v>
      </c>
      <c r="D973" t="s">
        <v>796</v>
      </c>
      <c r="E973" t="s">
        <v>131</v>
      </c>
      <c r="F973" t="s">
        <v>64</v>
      </c>
      <c r="G973">
        <v>9</v>
      </c>
      <c r="H973">
        <v>9</v>
      </c>
      <c r="I973" s="1">
        <f t="shared" si="15"/>
        <v>1</v>
      </c>
      <c r="J973" t="s">
        <v>797</v>
      </c>
      <c r="K973" t="s">
        <v>39</v>
      </c>
      <c r="L973" t="s">
        <v>796</v>
      </c>
      <c r="M973" t="s">
        <v>612</v>
      </c>
      <c r="N973" t="s">
        <v>50</v>
      </c>
    </row>
    <row r="974" spans="1:14">
      <c r="A974">
        <v>37728570</v>
      </c>
      <c r="B974" t="s">
        <v>749</v>
      </c>
      <c r="C974">
        <v>2023</v>
      </c>
      <c r="D974" t="s">
        <v>798</v>
      </c>
      <c r="E974" t="s">
        <v>131</v>
      </c>
      <c r="F974" t="s">
        <v>64</v>
      </c>
      <c r="G974">
        <v>3</v>
      </c>
      <c r="H974">
        <v>3</v>
      </c>
      <c r="I974" s="1">
        <f t="shared" si="15"/>
        <v>1</v>
      </c>
      <c r="J974" t="s">
        <v>172</v>
      </c>
      <c r="K974" t="s">
        <v>799</v>
      </c>
      <c r="L974" t="s">
        <v>798</v>
      </c>
      <c r="M974" t="s">
        <v>612</v>
      </c>
      <c r="N974" t="s">
        <v>50</v>
      </c>
    </row>
    <row r="975" spans="1:14">
      <c r="A975">
        <v>37766243</v>
      </c>
      <c r="B975" t="s">
        <v>774</v>
      </c>
      <c r="C975">
        <v>2023</v>
      </c>
      <c r="D975" t="s">
        <v>195</v>
      </c>
      <c r="E975" t="s">
        <v>51</v>
      </c>
      <c r="F975" t="s">
        <v>64</v>
      </c>
      <c r="G975">
        <v>1</v>
      </c>
      <c r="H975">
        <v>1</v>
      </c>
      <c r="I975" s="1">
        <f t="shared" si="15"/>
        <v>1</v>
      </c>
      <c r="J975" t="s">
        <v>85</v>
      </c>
      <c r="K975" t="s">
        <v>86</v>
      </c>
      <c r="L975" t="s">
        <v>195</v>
      </c>
      <c r="M975" t="s">
        <v>96</v>
      </c>
      <c r="N975" t="s">
        <v>21</v>
      </c>
    </row>
    <row r="976" spans="1:14">
      <c r="A976">
        <v>37795019</v>
      </c>
      <c r="B976" t="s">
        <v>556</v>
      </c>
      <c r="C976">
        <v>2023</v>
      </c>
      <c r="D976" t="s">
        <v>364</v>
      </c>
      <c r="E976" t="s">
        <v>131</v>
      </c>
      <c r="F976" t="s">
        <v>64</v>
      </c>
      <c r="G976">
        <v>45</v>
      </c>
      <c r="H976">
        <v>102</v>
      </c>
      <c r="I976" s="1">
        <f t="shared" si="15"/>
        <v>0.441176470588235</v>
      </c>
      <c r="J976" t="s">
        <v>365</v>
      </c>
      <c r="K976" t="s">
        <v>113</v>
      </c>
      <c r="L976" t="s">
        <v>364</v>
      </c>
      <c r="M976" t="s">
        <v>612</v>
      </c>
      <c r="N976" t="s">
        <v>50</v>
      </c>
    </row>
    <row r="977" spans="1:14">
      <c r="A977">
        <v>37817216</v>
      </c>
      <c r="B977" t="s">
        <v>800</v>
      </c>
      <c r="C977">
        <v>2023</v>
      </c>
      <c r="D977" t="s">
        <v>741</v>
      </c>
      <c r="E977" t="s">
        <v>77</v>
      </c>
      <c r="F977" t="s">
        <v>64</v>
      </c>
      <c r="G977">
        <v>0</v>
      </c>
      <c r="H977">
        <v>319</v>
      </c>
      <c r="I977" s="1">
        <f t="shared" si="15"/>
        <v>0</v>
      </c>
      <c r="J977" t="s">
        <v>94</v>
      </c>
      <c r="K977" t="s">
        <v>95</v>
      </c>
      <c r="L977" t="s">
        <v>741</v>
      </c>
      <c r="M977" t="s">
        <v>75</v>
      </c>
      <c r="N977" t="s">
        <v>50</v>
      </c>
    </row>
    <row r="978" spans="1:14">
      <c r="A978">
        <v>37823649</v>
      </c>
      <c r="B978" t="s">
        <v>725</v>
      </c>
      <c r="C978">
        <v>2023</v>
      </c>
      <c r="D978" t="s">
        <v>124</v>
      </c>
      <c r="E978" t="s">
        <v>77</v>
      </c>
      <c r="F978" t="s">
        <v>64</v>
      </c>
      <c r="G978">
        <v>12</v>
      </c>
      <c r="H978">
        <v>343</v>
      </c>
      <c r="I978" s="1">
        <f t="shared" si="15"/>
        <v>0.0349854227405248</v>
      </c>
      <c r="J978" t="s">
        <v>125</v>
      </c>
      <c r="K978" t="s">
        <v>126</v>
      </c>
      <c r="L978" t="s">
        <v>124</v>
      </c>
      <c r="M978" t="s">
        <v>49</v>
      </c>
      <c r="N978" t="s">
        <v>50</v>
      </c>
    </row>
    <row r="979" spans="1:14">
      <c r="A979">
        <v>37842795</v>
      </c>
      <c r="B979" t="s">
        <v>801</v>
      </c>
      <c r="C979">
        <v>2023</v>
      </c>
      <c r="D979" t="s">
        <v>195</v>
      </c>
      <c r="E979" t="s">
        <v>16</v>
      </c>
      <c r="F979" t="s">
        <v>64</v>
      </c>
      <c r="G979">
        <v>0</v>
      </c>
      <c r="H979">
        <v>8</v>
      </c>
      <c r="I979" s="1">
        <f t="shared" si="15"/>
        <v>0</v>
      </c>
      <c r="J979" t="s">
        <v>85</v>
      </c>
      <c r="K979" t="s">
        <v>86</v>
      </c>
      <c r="L979" t="s">
        <v>195</v>
      </c>
      <c r="M979" t="s">
        <v>108</v>
      </c>
      <c r="N979" t="s">
        <v>50</v>
      </c>
    </row>
    <row r="980" spans="1:14">
      <c r="A980">
        <v>37842795</v>
      </c>
      <c r="B980" t="s">
        <v>801</v>
      </c>
      <c r="C980">
        <v>2023</v>
      </c>
      <c r="D980" t="s">
        <v>195</v>
      </c>
      <c r="E980" t="s">
        <v>51</v>
      </c>
      <c r="F980" t="s">
        <v>64</v>
      </c>
      <c r="G980">
        <v>58</v>
      </c>
      <c r="H980">
        <v>104</v>
      </c>
      <c r="I980" s="1">
        <f t="shared" si="15"/>
        <v>0.557692307692308</v>
      </c>
      <c r="J980" t="s">
        <v>85</v>
      </c>
      <c r="K980" t="s">
        <v>86</v>
      </c>
      <c r="L980" t="s">
        <v>195</v>
      </c>
      <c r="M980" t="s">
        <v>108</v>
      </c>
      <c r="N980" t="s">
        <v>50</v>
      </c>
    </row>
    <row r="981" spans="1:14">
      <c r="A981">
        <v>37850154</v>
      </c>
      <c r="B981" t="s">
        <v>802</v>
      </c>
      <c r="C981">
        <v>2023</v>
      </c>
      <c r="D981" t="s">
        <v>195</v>
      </c>
      <c r="E981" t="s">
        <v>51</v>
      </c>
      <c r="F981" t="s">
        <v>64</v>
      </c>
      <c r="G981">
        <v>4</v>
      </c>
      <c r="H981">
        <v>4</v>
      </c>
      <c r="I981" s="1">
        <f t="shared" si="15"/>
        <v>1</v>
      </c>
      <c r="J981" t="s">
        <v>85</v>
      </c>
      <c r="K981" t="s">
        <v>86</v>
      </c>
      <c r="L981" t="s">
        <v>195</v>
      </c>
      <c r="M981" t="s">
        <v>763</v>
      </c>
      <c r="N981" t="s">
        <v>50</v>
      </c>
    </row>
    <row r="982" spans="1:14">
      <c r="A982">
        <v>37855904</v>
      </c>
      <c r="B982" t="s">
        <v>803</v>
      </c>
      <c r="C982">
        <v>2023</v>
      </c>
      <c r="D982" t="s">
        <v>195</v>
      </c>
      <c r="E982" t="s">
        <v>51</v>
      </c>
      <c r="F982" t="s">
        <v>64</v>
      </c>
      <c r="G982">
        <v>2</v>
      </c>
      <c r="H982">
        <v>2</v>
      </c>
      <c r="I982" s="1">
        <f t="shared" si="15"/>
        <v>1</v>
      </c>
      <c r="J982" t="s">
        <v>85</v>
      </c>
      <c r="K982" t="s">
        <v>86</v>
      </c>
      <c r="L982" t="s">
        <v>195</v>
      </c>
      <c r="M982" t="s">
        <v>243</v>
      </c>
      <c r="N982" t="s">
        <v>50</v>
      </c>
    </row>
    <row r="983" spans="1:14">
      <c r="A983">
        <v>37889705</v>
      </c>
      <c r="B983" t="s">
        <v>804</v>
      </c>
      <c r="C983">
        <v>2023</v>
      </c>
      <c r="D983" t="s">
        <v>84</v>
      </c>
      <c r="E983" t="s">
        <v>77</v>
      </c>
      <c r="F983" t="s">
        <v>64</v>
      </c>
      <c r="G983">
        <v>37</v>
      </c>
      <c r="H983">
        <v>4054</v>
      </c>
      <c r="I983" s="1">
        <f t="shared" si="15"/>
        <v>0.0091267883571781</v>
      </c>
      <c r="J983" t="s">
        <v>85</v>
      </c>
      <c r="K983" t="s">
        <v>86</v>
      </c>
      <c r="L983" t="s">
        <v>84</v>
      </c>
      <c r="M983" t="s">
        <v>75</v>
      </c>
      <c r="N983" t="s">
        <v>50</v>
      </c>
    </row>
    <row r="984" spans="1:14">
      <c r="A984">
        <v>37889705</v>
      </c>
      <c r="B984" t="s">
        <v>804</v>
      </c>
      <c r="C984">
        <v>2023</v>
      </c>
      <c r="D984" t="s">
        <v>249</v>
      </c>
      <c r="E984" t="s">
        <v>77</v>
      </c>
      <c r="F984" t="s">
        <v>64</v>
      </c>
      <c r="G984">
        <v>0</v>
      </c>
      <c r="H984">
        <v>161912</v>
      </c>
      <c r="I984" s="1">
        <f t="shared" si="15"/>
        <v>0</v>
      </c>
      <c r="J984" t="s">
        <v>250</v>
      </c>
      <c r="K984" t="s">
        <v>251</v>
      </c>
      <c r="L984" t="s">
        <v>249</v>
      </c>
      <c r="M984" t="s">
        <v>75</v>
      </c>
      <c r="N984" t="s">
        <v>50</v>
      </c>
    </row>
    <row r="985" spans="1:14">
      <c r="A985">
        <v>37889705</v>
      </c>
      <c r="B985" t="s">
        <v>804</v>
      </c>
      <c r="C985">
        <v>2023</v>
      </c>
      <c r="D985" t="s">
        <v>163</v>
      </c>
      <c r="E985" t="s">
        <v>77</v>
      </c>
      <c r="F985" t="s">
        <v>28</v>
      </c>
      <c r="G985">
        <v>0</v>
      </c>
      <c r="H985">
        <v>36083</v>
      </c>
      <c r="I985" s="1">
        <f t="shared" si="15"/>
        <v>0</v>
      </c>
      <c r="J985" t="s">
        <v>35</v>
      </c>
      <c r="K985" t="s">
        <v>107</v>
      </c>
      <c r="L985" t="s">
        <v>163</v>
      </c>
      <c r="M985" t="s">
        <v>75</v>
      </c>
      <c r="N985" t="s">
        <v>50</v>
      </c>
    </row>
    <row r="986" spans="1:14">
      <c r="A986">
        <v>37889705</v>
      </c>
      <c r="B986" t="s">
        <v>804</v>
      </c>
      <c r="C986">
        <v>2023</v>
      </c>
      <c r="D986" t="s">
        <v>15</v>
      </c>
      <c r="E986" t="s">
        <v>77</v>
      </c>
      <c r="F986" t="s">
        <v>28</v>
      </c>
      <c r="G986">
        <v>13497</v>
      </c>
      <c r="H986">
        <v>45331</v>
      </c>
      <c r="I986" s="1">
        <f t="shared" si="15"/>
        <v>0.297743266197525</v>
      </c>
      <c r="J986" t="s">
        <v>18</v>
      </c>
      <c r="K986" t="s">
        <v>19</v>
      </c>
      <c r="L986" t="s">
        <v>15</v>
      </c>
      <c r="M986" t="s">
        <v>75</v>
      </c>
      <c r="N986" t="s">
        <v>50</v>
      </c>
    </row>
    <row r="987" spans="1:14">
      <c r="A987">
        <v>37889705</v>
      </c>
      <c r="B987" t="s">
        <v>804</v>
      </c>
      <c r="C987">
        <v>2023</v>
      </c>
      <c r="D987" t="s">
        <v>83</v>
      </c>
      <c r="E987" t="s">
        <v>77</v>
      </c>
      <c r="F987" t="s">
        <v>28</v>
      </c>
      <c r="G987">
        <v>0</v>
      </c>
      <c r="H987">
        <v>45408</v>
      </c>
      <c r="I987" s="1">
        <f t="shared" si="15"/>
        <v>0</v>
      </c>
      <c r="J987" t="s">
        <v>55</v>
      </c>
      <c r="K987" t="s">
        <v>56</v>
      </c>
      <c r="L987" t="s">
        <v>83</v>
      </c>
      <c r="M987" t="s">
        <v>75</v>
      </c>
      <c r="N987" t="s">
        <v>50</v>
      </c>
    </row>
    <row r="988" spans="1:14">
      <c r="A988">
        <v>37896798</v>
      </c>
      <c r="B988" t="s">
        <v>805</v>
      </c>
      <c r="C988">
        <v>2023</v>
      </c>
      <c r="D988" t="s">
        <v>124</v>
      </c>
      <c r="E988" t="s">
        <v>77</v>
      </c>
      <c r="F988" t="s">
        <v>64</v>
      </c>
      <c r="G988">
        <v>15</v>
      </c>
      <c r="H988">
        <v>125</v>
      </c>
      <c r="I988" s="1">
        <f t="shared" si="15"/>
        <v>0.12</v>
      </c>
      <c r="J988" t="s">
        <v>125</v>
      </c>
      <c r="K988" t="s">
        <v>126</v>
      </c>
      <c r="L988" t="s">
        <v>124</v>
      </c>
      <c r="M988" t="s">
        <v>75</v>
      </c>
      <c r="N988" t="s">
        <v>50</v>
      </c>
    </row>
    <row r="989" spans="1:14">
      <c r="A989">
        <v>37984159</v>
      </c>
      <c r="B989" t="s">
        <v>806</v>
      </c>
      <c r="C989">
        <v>2023</v>
      </c>
      <c r="D989" t="s">
        <v>22</v>
      </c>
      <c r="E989" t="s">
        <v>51</v>
      </c>
      <c r="F989" t="s">
        <v>64</v>
      </c>
      <c r="G989">
        <v>30</v>
      </c>
      <c r="H989">
        <v>144</v>
      </c>
      <c r="I989" s="1">
        <f t="shared" si="15"/>
        <v>0.208333333333333</v>
      </c>
      <c r="J989" t="s">
        <v>23</v>
      </c>
      <c r="K989" t="s">
        <v>24</v>
      </c>
      <c r="L989" t="s">
        <v>22</v>
      </c>
      <c r="M989" t="s">
        <v>78</v>
      </c>
      <c r="N989" t="s">
        <v>50</v>
      </c>
    </row>
    <row r="990" spans="1:14">
      <c r="A990">
        <v>37987587</v>
      </c>
      <c r="B990" t="s">
        <v>807</v>
      </c>
      <c r="C990">
        <v>2023</v>
      </c>
      <c r="D990" t="s">
        <v>195</v>
      </c>
      <c r="E990" t="s">
        <v>51</v>
      </c>
      <c r="F990" t="s">
        <v>64</v>
      </c>
      <c r="G990">
        <v>5</v>
      </c>
      <c r="H990">
        <v>110</v>
      </c>
      <c r="I990" s="1">
        <f t="shared" si="15"/>
        <v>0.0454545454545455</v>
      </c>
      <c r="J990" t="s">
        <v>85</v>
      </c>
      <c r="K990" t="s">
        <v>86</v>
      </c>
      <c r="L990" t="s">
        <v>195</v>
      </c>
      <c r="M990" t="s">
        <v>49</v>
      </c>
      <c r="N990" t="s">
        <v>50</v>
      </c>
    </row>
    <row r="991" spans="1:14">
      <c r="A991">
        <v>37987587</v>
      </c>
      <c r="B991" t="s">
        <v>807</v>
      </c>
      <c r="C991">
        <v>2023</v>
      </c>
      <c r="D991" t="s">
        <v>195</v>
      </c>
      <c r="E991" t="s">
        <v>16</v>
      </c>
      <c r="F991" t="s">
        <v>64</v>
      </c>
      <c r="G991">
        <v>0</v>
      </c>
      <c r="H991">
        <v>8</v>
      </c>
      <c r="I991" s="1">
        <f t="shared" si="15"/>
        <v>0</v>
      </c>
      <c r="J991" t="s">
        <v>85</v>
      </c>
      <c r="K991" t="s">
        <v>86</v>
      </c>
      <c r="L991" t="s">
        <v>195</v>
      </c>
      <c r="M991" t="s">
        <v>49</v>
      </c>
      <c r="N991" t="s">
        <v>50</v>
      </c>
    </row>
    <row r="992" spans="1:14">
      <c r="A992">
        <v>37987587</v>
      </c>
      <c r="B992" t="s">
        <v>807</v>
      </c>
      <c r="C992">
        <v>2023</v>
      </c>
      <c r="D992" t="s">
        <v>195</v>
      </c>
      <c r="E992" t="s">
        <v>48</v>
      </c>
      <c r="F992" t="s">
        <v>64</v>
      </c>
      <c r="G992">
        <v>0</v>
      </c>
      <c r="H992">
        <v>28</v>
      </c>
      <c r="I992" s="1">
        <f t="shared" si="15"/>
        <v>0</v>
      </c>
      <c r="J992" t="s">
        <v>85</v>
      </c>
      <c r="K992" t="s">
        <v>86</v>
      </c>
      <c r="L992" t="s">
        <v>195</v>
      </c>
      <c r="M992" t="s">
        <v>49</v>
      </c>
      <c r="N992" t="s">
        <v>50</v>
      </c>
    </row>
    <row r="993" spans="1:14">
      <c r="A993">
        <v>37995393</v>
      </c>
      <c r="B993" t="s">
        <v>808</v>
      </c>
      <c r="C993">
        <v>2024</v>
      </c>
      <c r="D993" t="s">
        <v>748</v>
      </c>
      <c r="E993" t="s">
        <v>77</v>
      </c>
      <c r="F993" t="s">
        <v>28</v>
      </c>
      <c r="G993">
        <v>1026</v>
      </c>
      <c r="H993">
        <v>5291</v>
      </c>
      <c r="I993" s="1">
        <f t="shared" si="15"/>
        <v>0.193914193914194</v>
      </c>
      <c r="J993" t="s">
        <v>60</v>
      </c>
      <c r="K993" t="s">
        <v>694</v>
      </c>
      <c r="L993" t="s">
        <v>748</v>
      </c>
      <c r="M993" t="s">
        <v>232</v>
      </c>
      <c r="N993" t="s">
        <v>50</v>
      </c>
    </row>
    <row r="994" spans="1:14">
      <c r="A994">
        <v>38005836</v>
      </c>
      <c r="B994" t="s">
        <v>809</v>
      </c>
      <c r="C994">
        <v>2023</v>
      </c>
      <c r="D994" t="s">
        <v>93</v>
      </c>
      <c r="E994" t="s">
        <v>77</v>
      </c>
      <c r="F994" t="s">
        <v>64</v>
      </c>
      <c r="G994">
        <v>75</v>
      </c>
      <c r="H994">
        <v>102</v>
      </c>
      <c r="I994" s="1">
        <f t="shared" si="15"/>
        <v>0.735294117647059</v>
      </c>
      <c r="J994" t="s">
        <v>94</v>
      </c>
      <c r="K994" t="s">
        <v>95</v>
      </c>
      <c r="L994" t="s">
        <v>93</v>
      </c>
      <c r="M994" t="s">
        <v>75</v>
      </c>
      <c r="N994" t="s">
        <v>50</v>
      </c>
    </row>
    <row r="995" spans="1:14">
      <c r="A995">
        <v>38050451</v>
      </c>
      <c r="B995" t="s">
        <v>810</v>
      </c>
      <c r="C995">
        <v>2024</v>
      </c>
      <c r="D995" t="s">
        <v>537</v>
      </c>
      <c r="E995" t="s">
        <v>77</v>
      </c>
      <c r="F995" t="s">
        <v>64</v>
      </c>
      <c r="G995">
        <v>10</v>
      </c>
      <c r="H995">
        <v>222</v>
      </c>
      <c r="I995" s="1">
        <f t="shared" si="15"/>
        <v>0.045045045045045</v>
      </c>
      <c r="J995" t="s">
        <v>94</v>
      </c>
      <c r="K995" t="s">
        <v>95</v>
      </c>
      <c r="L995" t="s">
        <v>537</v>
      </c>
      <c r="M995" t="s">
        <v>151</v>
      </c>
      <c r="N995" t="s">
        <v>30</v>
      </c>
    </row>
    <row r="996" spans="1:14">
      <c r="A996">
        <v>38050451</v>
      </c>
      <c r="B996" t="s">
        <v>810</v>
      </c>
      <c r="C996">
        <v>2024</v>
      </c>
      <c r="D996" t="s">
        <v>93</v>
      </c>
      <c r="E996" t="s">
        <v>77</v>
      </c>
      <c r="F996" t="s">
        <v>64</v>
      </c>
      <c r="G996">
        <v>54</v>
      </c>
      <c r="H996">
        <v>222</v>
      </c>
      <c r="I996" s="1">
        <f t="shared" si="15"/>
        <v>0.243243243243243</v>
      </c>
      <c r="J996" t="s">
        <v>94</v>
      </c>
      <c r="K996" t="s">
        <v>95</v>
      </c>
      <c r="L996" t="s">
        <v>93</v>
      </c>
      <c r="M996" t="s">
        <v>151</v>
      </c>
      <c r="N996" t="s">
        <v>30</v>
      </c>
    </row>
    <row r="997" spans="1:14">
      <c r="A997">
        <v>3904578</v>
      </c>
      <c r="B997" t="s">
        <v>811</v>
      </c>
      <c r="C997">
        <v>1985</v>
      </c>
      <c r="D997" t="s">
        <v>45</v>
      </c>
      <c r="E997" t="s">
        <v>51</v>
      </c>
      <c r="F997" t="s">
        <v>41</v>
      </c>
      <c r="G997">
        <v>12</v>
      </c>
      <c r="H997">
        <v>20</v>
      </c>
      <c r="I997" s="1">
        <f t="shared" si="15"/>
        <v>0.6</v>
      </c>
      <c r="J997" t="s">
        <v>23</v>
      </c>
      <c r="K997" t="s">
        <v>46</v>
      </c>
      <c r="L997" t="s">
        <v>45</v>
      </c>
      <c r="M997" t="s">
        <v>62</v>
      </c>
      <c r="N997" t="s">
        <v>50</v>
      </c>
    </row>
    <row r="998" spans="1:14">
      <c r="A998">
        <v>3951062</v>
      </c>
      <c r="B998" t="s">
        <v>812</v>
      </c>
      <c r="C998">
        <v>1986</v>
      </c>
      <c r="D998" t="s">
        <v>45</v>
      </c>
      <c r="E998" t="s">
        <v>16</v>
      </c>
      <c r="F998" t="s">
        <v>41</v>
      </c>
      <c r="G998">
        <v>0</v>
      </c>
      <c r="H998">
        <v>1</v>
      </c>
      <c r="I998" s="1">
        <f t="shared" si="15"/>
        <v>0</v>
      </c>
      <c r="J998" t="s">
        <v>23</v>
      </c>
      <c r="K998" t="s">
        <v>46</v>
      </c>
      <c r="L998" t="s">
        <v>45</v>
      </c>
      <c r="M998" t="s">
        <v>96</v>
      </c>
      <c r="N998" t="s">
        <v>21</v>
      </c>
    </row>
    <row r="999" spans="1:14">
      <c r="A999">
        <v>3951062</v>
      </c>
      <c r="B999" t="s">
        <v>812</v>
      </c>
      <c r="C999">
        <v>1986</v>
      </c>
      <c r="D999" t="s">
        <v>22</v>
      </c>
      <c r="E999" t="s">
        <v>16</v>
      </c>
      <c r="F999" t="s">
        <v>101</v>
      </c>
      <c r="G999">
        <v>1</v>
      </c>
      <c r="H999">
        <v>1</v>
      </c>
      <c r="I999" s="1">
        <f t="shared" si="15"/>
        <v>1</v>
      </c>
      <c r="J999" t="s">
        <v>23</v>
      </c>
      <c r="K999" t="s">
        <v>24</v>
      </c>
      <c r="L999" t="s">
        <v>22</v>
      </c>
      <c r="M999" t="s">
        <v>96</v>
      </c>
      <c r="N999" t="s">
        <v>21</v>
      </c>
    </row>
    <row r="1000" spans="1:14">
      <c r="A1000">
        <v>3999245</v>
      </c>
      <c r="B1000" t="s">
        <v>813</v>
      </c>
      <c r="C1000">
        <v>1985</v>
      </c>
      <c r="D1000" t="s">
        <v>45</v>
      </c>
      <c r="E1000" t="s">
        <v>16</v>
      </c>
      <c r="F1000" t="s">
        <v>41</v>
      </c>
      <c r="G1000">
        <v>315</v>
      </c>
      <c r="H1000">
        <v>427</v>
      </c>
      <c r="I1000" s="1">
        <f t="shared" si="15"/>
        <v>0.737704918032787</v>
      </c>
      <c r="J1000" t="s">
        <v>23</v>
      </c>
      <c r="K1000" t="s">
        <v>46</v>
      </c>
      <c r="L1000" t="s">
        <v>45</v>
      </c>
      <c r="M1000" t="s">
        <v>20</v>
      </c>
      <c r="N1000" t="s">
        <v>21</v>
      </c>
    </row>
    <row r="1001" spans="1:14">
      <c r="A1001">
        <v>4583405</v>
      </c>
      <c r="B1001" t="s">
        <v>814</v>
      </c>
      <c r="C1001">
        <v>1973</v>
      </c>
      <c r="D1001" t="s">
        <v>45</v>
      </c>
      <c r="E1001" t="s">
        <v>16</v>
      </c>
      <c r="F1001" t="s">
        <v>17</v>
      </c>
      <c r="G1001">
        <v>47</v>
      </c>
      <c r="H1001">
        <v>441</v>
      </c>
      <c r="I1001" s="1">
        <f t="shared" si="15"/>
        <v>0.106575963718821</v>
      </c>
      <c r="J1001" t="s">
        <v>23</v>
      </c>
      <c r="K1001" t="s">
        <v>46</v>
      </c>
      <c r="L1001" t="s">
        <v>45</v>
      </c>
      <c r="M1001" t="s">
        <v>20</v>
      </c>
      <c r="N1001" t="s">
        <v>21</v>
      </c>
    </row>
    <row r="1002" spans="1:14">
      <c r="A1002">
        <v>4729744</v>
      </c>
      <c r="B1002" t="s">
        <v>815</v>
      </c>
      <c r="C1002">
        <v>1973</v>
      </c>
      <c r="D1002" t="s">
        <v>816</v>
      </c>
      <c r="E1002" t="s">
        <v>51</v>
      </c>
      <c r="F1002" t="s">
        <v>17</v>
      </c>
      <c r="G1002">
        <v>23</v>
      </c>
      <c r="H1002">
        <v>68</v>
      </c>
      <c r="I1002" s="1">
        <f t="shared" si="15"/>
        <v>0.338235294117647</v>
      </c>
      <c r="J1002" t="s">
        <v>60</v>
      </c>
      <c r="K1002" t="s">
        <v>527</v>
      </c>
      <c r="L1002" t="s">
        <v>816</v>
      </c>
      <c r="M1002" t="s">
        <v>148</v>
      </c>
      <c r="N1002" t="s">
        <v>50</v>
      </c>
    </row>
    <row r="1003" spans="1:14">
      <c r="A1003">
        <v>5106997</v>
      </c>
      <c r="B1003" t="s">
        <v>817</v>
      </c>
      <c r="C1003">
        <v>1971</v>
      </c>
      <c r="D1003" t="s">
        <v>111</v>
      </c>
      <c r="E1003" t="s">
        <v>51</v>
      </c>
      <c r="F1003" t="s">
        <v>128</v>
      </c>
      <c r="G1003">
        <v>11</v>
      </c>
      <c r="H1003">
        <v>13</v>
      </c>
      <c r="I1003" s="1">
        <f t="shared" si="15"/>
        <v>0.846153846153846</v>
      </c>
      <c r="J1003" t="s">
        <v>18</v>
      </c>
      <c r="K1003" t="s">
        <v>19</v>
      </c>
      <c r="L1003" t="s">
        <v>111</v>
      </c>
      <c r="M1003" t="s">
        <v>763</v>
      </c>
      <c r="N1003" t="s">
        <v>50</v>
      </c>
    </row>
    <row r="1004" spans="1:14">
      <c r="A1004">
        <v>5389703</v>
      </c>
      <c r="B1004" t="s">
        <v>817</v>
      </c>
      <c r="C1004">
        <v>1969</v>
      </c>
      <c r="D1004" t="s">
        <v>15</v>
      </c>
      <c r="E1004" t="s">
        <v>51</v>
      </c>
      <c r="F1004" t="s">
        <v>128</v>
      </c>
      <c r="G1004">
        <v>8</v>
      </c>
      <c r="H1004">
        <v>8</v>
      </c>
      <c r="I1004" s="1">
        <f t="shared" si="15"/>
        <v>1</v>
      </c>
      <c r="J1004" t="s">
        <v>18</v>
      </c>
      <c r="K1004" t="s">
        <v>19</v>
      </c>
      <c r="L1004" t="s">
        <v>15</v>
      </c>
      <c r="M1004" t="s">
        <v>763</v>
      </c>
      <c r="N1004" t="s">
        <v>50</v>
      </c>
    </row>
    <row r="1005" spans="1:14">
      <c r="A1005">
        <v>6257934</v>
      </c>
      <c r="B1005" t="s">
        <v>818</v>
      </c>
      <c r="C1005">
        <v>1980</v>
      </c>
      <c r="D1005" t="s">
        <v>15</v>
      </c>
      <c r="E1005" t="s">
        <v>16</v>
      </c>
      <c r="F1005" t="s">
        <v>17</v>
      </c>
      <c r="G1005">
        <v>6</v>
      </c>
      <c r="H1005">
        <v>22</v>
      </c>
      <c r="I1005" s="1">
        <f t="shared" si="15"/>
        <v>0.272727272727273</v>
      </c>
      <c r="J1005" t="s">
        <v>18</v>
      </c>
      <c r="K1005" t="s">
        <v>19</v>
      </c>
      <c r="L1005" t="s">
        <v>15</v>
      </c>
      <c r="M1005" t="s">
        <v>20</v>
      </c>
      <c r="N1005" t="s">
        <v>21</v>
      </c>
    </row>
    <row r="1006" spans="1:14">
      <c r="A1006">
        <v>6257934</v>
      </c>
      <c r="B1006" t="s">
        <v>818</v>
      </c>
      <c r="C1006">
        <v>1980</v>
      </c>
      <c r="D1006" t="s">
        <v>15</v>
      </c>
      <c r="E1006" t="s">
        <v>51</v>
      </c>
      <c r="F1006" t="s">
        <v>17</v>
      </c>
      <c r="G1006">
        <v>0</v>
      </c>
      <c r="H1006">
        <v>1</v>
      </c>
      <c r="I1006" s="1">
        <f t="shared" si="15"/>
        <v>0</v>
      </c>
      <c r="J1006" t="s">
        <v>18</v>
      </c>
      <c r="K1006" t="s">
        <v>19</v>
      </c>
      <c r="L1006" t="s">
        <v>15</v>
      </c>
      <c r="M1006" t="s">
        <v>20</v>
      </c>
      <c r="N1006" t="s">
        <v>21</v>
      </c>
    </row>
    <row r="1007" spans="1:14">
      <c r="A1007">
        <v>6265659</v>
      </c>
      <c r="B1007" t="s">
        <v>819</v>
      </c>
      <c r="C1007">
        <v>1981</v>
      </c>
      <c r="D1007" t="s">
        <v>110</v>
      </c>
      <c r="E1007" t="s">
        <v>51</v>
      </c>
      <c r="F1007" t="s">
        <v>54</v>
      </c>
      <c r="G1007">
        <v>2</v>
      </c>
      <c r="H1007">
        <v>57</v>
      </c>
      <c r="I1007" s="1">
        <f t="shared" si="15"/>
        <v>0.0350877192982456</v>
      </c>
      <c r="J1007" t="s">
        <v>43</v>
      </c>
      <c r="K1007" t="s">
        <v>44</v>
      </c>
      <c r="L1007" t="s">
        <v>110</v>
      </c>
      <c r="M1007" t="s">
        <v>20</v>
      </c>
      <c r="N1007" t="s">
        <v>21</v>
      </c>
    </row>
    <row r="1008" spans="1:14">
      <c r="A1008">
        <v>6265659</v>
      </c>
      <c r="B1008" t="s">
        <v>819</v>
      </c>
      <c r="C1008">
        <v>1981</v>
      </c>
      <c r="D1008" t="s">
        <v>22</v>
      </c>
      <c r="E1008" t="s">
        <v>51</v>
      </c>
      <c r="F1008" t="s">
        <v>54</v>
      </c>
      <c r="G1008">
        <v>6</v>
      </c>
      <c r="H1008">
        <v>57</v>
      </c>
      <c r="I1008" s="1">
        <f t="shared" si="15"/>
        <v>0.105263157894737</v>
      </c>
      <c r="J1008" t="s">
        <v>23</v>
      </c>
      <c r="K1008" t="s">
        <v>24</v>
      </c>
      <c r="L1008" t="s">
        <v>22</v>
      </c>
      <c r="M1008" t="s">
        <v>20</v>
      </c>
      <c r="N1008" t="s">
        <v>21</v>
      </c>
    </row>
    <row r="1009" spans="1:14">
      <c r="A1009">
        <v>6309349</v>
      </c>
      <c r="B1009" t="s">
        <v>820</v>
      </c>
      <c r="C1009">
        <v>1983</v>
      </c>
      <c r="D1009" t="s">
        <v>115</v>
      </c>
      <c r="E1009" t="s">
        <v>16</v>
      </c>
      <c r="F1009" t="s">
        <v>137</v>
      </c>
      <c r="G1009">
        <v>25</v>
      </c>
      <c r="H1009">
        <v>112</v>
      </c>
      <c r="I1009" s="1">
        <f t="shared" si="15"/>
        <v>0.223214285714286</v>
      </c>
      <c r="J1009" t="s">
        <v>38</v>
      </c>
      <c r="K1009" t="s">
        <v>39</v>
      </c>
      <c r="L1009" t="s">
        <v>115</v>
      </c>
      <c r="M1009" t="s">
        <v>96</v>
      </c>
      <c r="N1009" t="s">
        <v>21</v>
      </c>
    </row>
    <row r="1010" spans="1:14">
      <c r="A1010">
        <v>6309349</v>
      </c>
      <c r="B1010" t="s">
        <v>820</v>
      </c>
      <c r="C1010">
        <v>1983</v>
      </c>
      <c r="D1010" t="s">
        <v>115</v>
      </c>
      <c r="E1010" t="s">
        <v>51</v>
      </c>
      <c r="F1010" t="s">
        <v>137</v>
      </c>
      <c r="G1010">
        <v>114</v>
      </c>
      <c r="H1010">
        <v>144</v>
      </c>
      <c r="I1010" s="1">
        <f t="shared" si="15"/>
        <v>0.791666666666667</v>
      </c>
      <c r="J1010" t="s">
        <v>38</v>
      </c>
      <c r="K1010" t="s">
        <v>39</v>
      </c>
      <c r="L1010" t="s">
        <v>115</v>
      </c>
      <c r="M1010" t="s">
        <v>96</v>
      </c>
      <c r="N1010" t="s">
        <v>21</v>
      </c>
    </row>
    <row r="1011" spans="1:14">
      <c r="A1011">
        <v>6315973</v>
      </c>
      <c r="B1011" t="s">
        <v>821</v>
      </c>
      <c r="C1011">
        <v>1983</v>
      </c>
      <c r="D1011" t="s">
        <v>15</v>
      </c>
      <c r="E1011" t="s">
        <v>16</v>
      </c>
      <c r="F1011" t="s">
        <v>17</v>
      </c>
      <c r="G1011">
        <v>5</v>
      </c>
      <c r="H1011">
        <v>47</v>
      </c>
      <c r="I1011" s="1">
        <f t="shared" si="15"/>
        <v>0.106382978723404</v>
      </c>
      <c r="J1011" t="s">
        <v>18</v>
      </c>
      <c r="K1011" t="s">
        <v>19</v>
      </c>
      <c r="L1011" t="s">
        <v>15</v>
      </c>
      <c r="M1011" t="s">
        <v>20</v>
      </c>
      <c r="N1011" t="s">
        <v>21</v>
      </c>
    </row>
    <row r="1012" spans="1:14">
      <c r="A1012">
        <v>6330384</v>
      </c>
      <c r="B1012" t="s">
        <v>822</v>
      </c>
      <c r="C1012">
        <v>1984</v>
      </c>
      <c r="D1012" t="s">
        <v>45</v>
      </c>
      <c r="E1012" t="s">
        <v>16</v>
      </c>
      <c r="F1012" t="s">
        <v>41</v>
      </c>
      <c r="G1012">
        <v>0</v>
      </c>
      <c r="H1012">
        <v>117</v>
      </c>
      <c r="I1012" s="1">
        <f t="shared" si="15"/>
        <v>0</v>
      </c>
      <c r="J1012" t="s">
        <v>23</v>
      </c>
      <c r="K1012" t="s">
        <v>46</v>
      </c>
      <c r="L1012" t="s">
        <v>45</v>
      </c>
      <c r="M1012" t="s">
        <v>20</v>
      </c>
      <c r="N1012" t="s">
        <v>21</v>
      </c>
    </row>
    <row r="1013" spans="1:14">
      <c r="A1013">
        <v>6330384</v>
      </c>
      <c r="B1013" t="s">
        <v>822</v>
      </c>
      <c r="C1013">
        <v>1984</v>
      </c>
      <c r="D1013" t="s">
        <v>15</v>
      </c>
      <c r="E1013" t="s">
        <v>16</v>
      </c>
      <c r="F1013" t="s">
        <v>41</v>
      </c>
      <c r="G1013">
        <v>0</v>
      </c>
      <c r="H1013">
        <v>117</v>
      </c>
      <c r="I1013" s="1">
        <f t="shared" si="15"/>
        <v>0</v>
      </c>
      <c r="J1013" t="s">
        <v>18</v>
      </c>
      <c r="K1013" t="s">
        <v>19</v>
      </c>
      <c r="L1013" t="s">
        <v>15</v>
      </c>
      <c r="M1013" t="s">
        <v>20</v>
      </c>
      <c r="N1013" t="s">
        <v>21</v>
      </c>
    </row>
    <row r="1014" spans="1:14">
      <c r="A1014">
        <v>6330384</v>
      </c>
      <c r="B1014" t="s">
        <v>822</v>
      </c>
      <c r="C1014">
        <v>1984</v>
      </c>
      <c r="D1014" t="s">
        <v>110</v>
      </c>
      <c r="E1014" t="s">
        <v>16</v>
      </c>
      <c r="F1014" t="s">
        <v>41</v>
      </c>
      <c r="G1014">
        <v>3</v>
      </c>
      <c r="H1014">
        <v>117</v>
      </c>
      <c r="I1014" s="1">
        <f t="shared" si="15"/>
        <v>0.0256410256410256</v>
      </c>
      <c r="J1014" t="s">
        <v>43</v>
      </c>
      <c r="K1014" t="s">
        <v>44</v>
      </c>
      <c r="L1014" t="s">
        <v>110</v>
      </c>
      <c r="M1014" t="s">
        <v>20</v>
      </c>
      <c r="N1014" t="s">
        <v>21</v>
      </c>
    </row>
    <row r="1015" spans="1:14">
      <c r="A1015">
        <v>6330384</v>
      </c>
      <c r="B1015" t="s">
        <v>822</v>
      </c>
      <c r="C1015">
        <v>1984</v>
      </c>
      <c r="D1015" t="s">
        <v>115</v>
      </c>
      <c r="E1015" t="s">
        <v>16</v>
      </c>
      <c r="F1015" t="s">
        <v>41</v>
      </c>
      <c r="G1015">
        <v>2</v>
      </c>
      <c r="H1015">
        <v>117</v>
      </c>
      <c r="I1015" s="1">
        <f t="shared" si="15"/>
        <v>0.0170940170940171</v>
      </c>
      <c r="J1015" t="s">
        <v>38</v>
      </c>
      <c r="K1015" t="s">
        <v>39</v>
      </c>
      <c r="L1015" t="s">
        <v>115</v>
      </c>
      <c r="M1015" t="s">
        <v>20</v>
      </c>
      <c r="N1015" t="s">
        <v>21</v>
      </c>
    </row>
    <row r="1016" spans="1:14">
      <c r="A1016">
        <v>6330384</v>
      </c>
      <c r="B1016" t="s">
        <v>822</v>
      </c>
      <c r="C1016">
        <v>1984</v>
      </c>
      <c r="D1016" t="s">
        <v>22</v>
      </c>
      <c r="E1016" t="s">
        <v>16</v>
      </c>
      <c r="F1016" t="s">
        <v>41</v>
      </c>
      <c r="G1016">
        <v>0</v>
      </c>
      <c r="H1016">
        <v>117</v>
      </c>
      <c r="I1016" s="1">
        <f t="shared" si="15"/>
        <v>0</v>
      </c>
      <c r="J1016" t="s">
        <v>23</v>
      </c>
      <c r="K1016" t="s">
        <v>24</v>
      </c>
      <c r="L1016" t="s">
        <v>22</v>
      </c>
      <c r="M1016" t="s">
        <v>20</v>
      </c>
      <c r="N1016" t="s">
        <v>21</v>
      </c>
    </row>
    <row r="1017" spans="1:14">
      <c r="A1017">
        <v>6506447</v>
      </c>
      <c r="B1017" t="s">
        <v>823</v>
      </c>
      <c r="C1017">
        <v>1984</v>
      </c>
      <c r="D1017" t="s">
        <v>824</v>
      </c>
      <c r="E1017" t="s">
        <v>51</v>
      </c>
      <c r="F1017" t="s">
        <v>28</v>
      </c>
      <c r="G1017">
        <v>0</v>
      </c>
      <c r="H1017">
        <v>46</v>
      </c>
      <c r="I1017" s="1">
        <f t="shared" si="15"/>
        <v>0</v>
      </c>
      <c r="J1017" t="s">
        <v>80</v>
      </c>
      <c r="K1017" t="s">
        <v>825</v>
      </c>
      <c r="L1017" t="s">
        <v>824</v>
      </c>
      <c r="M1017" t="s">
        <v>290</v>
      </c>
      <c r="N1017" t="s">
        <v>50</v>
      </c>
    </row>
    <row r="1018" spans="1:14">
      <c r="A1018">
        <v>7258486</v>
      </c>
      <c r="B1018" t="s">
        <v>819</v>
      </c>
      <c r="C1018">
        <v>1981</v>
      </c>
      <c r="D1018" t="s">
        <v>788</v>
      </c>
      <c r="E1018" t="s">
        <v>16</v>
      </c>
      <c r="F1018" t="s">
        <v>17</v>
      </c>
      <c r="G1018">
        <v>4</v>
      </c>
      <c r="H1018">
        <v>16</v>
      </c>
      <c r="I1018" s="1">
        <f t="shared" si="15"/>
        <v>0.25</v>
      </c>
      <c r="J1018" t="s">
        <v>60</v>
      </c>
      <c r="K1018" t="s">
        <v>527</v>
      </c>
      <c r="L1018" t="s">
        <v>788</v>
      </c>
      <c r="M1018" t="s">
        <v>20</v>
      </c>
      <c r="N1018" t="s">
        <v>21</v>
      </c>
    </row>
    <row r="1019" spans="1:14">
      <c r="A1019">
        <v>7258486</v>
      </c>
      <c r="B1019" t="s">
        <v>819</v>
      </c>
      <c r="C1019">
        <v>1981</v>
      </c>
      <c r="D1019" t="s">
        <v>788</v>
      </c>
      <c r="E1019" t="s">
        <v>51</v>
      </c>
      <c r="F1019" t="s">
        <v>17</v>
      </c>
      <c r="G1019">
        <v>37</v>
      </c>
      <c r="H1019">
        <v>63</v>
      </c>
      <c r="I1019" s="1">
        <f t="shared" si="15"/>
        <v>0.587301587301587</v>
      </c>
      <c r="J1019" t="s">
        <v>60</v>
      </c>
      <c r="K1019" t="s">
        <v>527</v>
      </c>
      <c r="L1019" t="s">
        <v>788</v>
      </c>
      <c r="M1019" t="s">
        <v>20</v>
      </c>
      <c r="N1019" t="s">
        <v>21</v>
      </c>
    </row>
    <row r="1020" spans="1:14">
      <c r="A1020">
        <v>8151810</v>
      </c>
      <c r="B1020" t="s">
        <v>826</v>
      </c>
      <c r="C1020">
        <v>1994</v>
      </c>
      <c r="D1020" t="s">
        <v>185</v>
      </c>
      <c r="E1020" t="s">
        <v>77</v>
      </c>
      <c r="F1020" t="s">
        <v>41</v>
      </c>
      <c r="G1020">
        <v>0</v>
      </c>
      <c r="H1020">
        <v>108</v>
      </c>
      <c r="I1020" s="1">
        <f t="shared" si="15"/>
        <v>0</v>
      </c>
      <c r="J1020" t="s">
        <v>55</v>
      </c>
      <c r="K1020" t="s">
        <v>56</v>
      </c>
      <c r="L1020" t="s">
        <v>185</v>
      </c>
      <c r="M1020" t="s">
        <v>20</v>
      </c>
      <c r="N1020" t="s">
        <v>21</v>
      </c>
    </row>
    <row r="1021" spans="1:14">
      <c r="A1021">
        <v>8151810</v>
      </c>
      <c r="B1021" t="s">
        <v>826</v>
      </c>
      <c r="C1021">
        <v>1994</v>
      </c>
      <c r="D1021" t="s">
        <v>479</v>
      </c>
      <c r="E1021" t="s">
        <v>77</v>
      </c>
      <c r="F1021" t="s">
        <v>41</v>
      </c>
      <c r="G1021">
        <v>0</v>
      </c>
      <c r="H1021">
        <v>108</v>
      </c>
      <c r="I1021" s="1">
        <f t="shared" si="15"/>
        <v>0</v>
      </c>
      <c r="J1021" t="s">
        <v>278</v>
      </c>
      <c r="K1021" t="s">
        <v>279</v>
      </c>
      <c r="L1021" t="s">
        <v>479</v>
      </c>
      <c r="M1021" t="s">
        <v>20</v>
      </c>
      <c r="N1021" t="s">
        <v>21</v>
      </c>
    </row>
    <row r="1022" spans="1:14">
      <c r="A1022">
        <v>8151810</v>
      </c>
      <c r="B1022" t="s">
        <v>826</v>
      </c>
      <c r="C1022">
        <v>1994</v>
      </c>
      <c r="D1022" t="s">
        <v>15</v>
      </c>
      <c r="E1022" t="s">
        <v>77</v>
      </c>
      <c r="F1022" t="s">
        <v>17</v>
      </c>
      <c r="G1022">
        <v>0</v>
      </c>
      <c r="H1022">
        <v>108</v>
      </c>
      <c r="I1022" s="1">
        <f t="shared" si="15"/>
        <v>0</v>
      </c>
      <c r="J1022" t="s">
        <v>18</v>
      </c>
      <c r="K1022" t="s">
        <v>19</v>
      </c>
      <c r="L1022" t="s">
        <v>15</v>
      </c>
      <c r="M1022" t="s">
        <v>20</v>
      </c>
      <c r="N1022" t="s">
        <v>21</v>
      </c>
    </row>
    <row r="1023" spans="1:14">
      <c r="A1023">
        <v>8151810</v>
      </c>
      <c r="B1023" t="s">
        <v>826</v>
      </c>
      <c r="C1023">
        <v>1994</v>
      </c>
      <c r="D1023" t="s">
        <v>82</v>
      </c>
      <c r="E1023" t="s">
        <v>77</v>
      </c>
      <c r="F1023" t="s">
        <v>41</v>
      </c>
      <c r="G1023">
        <v>15</v>
      </c>
      <c r="H1023">
        <v>108</v>
      </c>
      <c r="I1023" s="1">
        <f t="shared" si="15"/>
        <v>0.138888888888889</v>
      </c>
      <c r="J1023" t="s">
        <v>38</v>
      </c>
      <c r="K1023" t="s">
        <v>39</v>
      </c>
      <c r="L1023" t="s">
        <v>82</v>
      </c>
      <c r="M1023" t="s">
        <v>20</v>
      </c>
      <c r="N1023" t="s">
        <v>21</v>
      </c>
    </row>
    <row r="1024" spans="1:14">
      <c r="A1024">
        <v>8258864</v>
      </c>
      <c r="B1024" t="s">
        <v>498</v>
      </c>
      <c r="C1024">
        <v>1993</v>
      </c>
      <c r="D1024" t="s">
        <v>827</v>
      </c>
      <c r="E1024" t="s">
        <v>77</v>
      </c>
      <c r="F1024" t="s">
        <v>17</v>
      </c>
      <c r="G1024">
        <v>8</v>
      </c>
      <c r="H1024">
        <v>24</v>
      </c>
      <c r="I1024" s="1">
        <f t="shared" si="15"/>
        <v>0.333333333333333</v>
      </c>
      <c r="J1024" t="s">
        <v>60</v>
      </c>
      <c r="K1024" t="s">
        <v>527</v>
      </c>
      <c r="L1024" t="s">
        <v>827</v>
      </c>
      <c r="M1024" t="s">
        <v>199</v>
      </c>
      <c r="N1024" t="s">
        <v>50</v>
      </c>
    </row>
    <row r="1025" spans="1:14">
      <c r="A1025">
        <v>8258864</v>
      </c>
      <c r="B1025" t="s">
        <v>498</v>
      </c>
      <c r="C1025">
        <v>1993</v>
      </c>
      <c r="D1025" t="s">
        <v>526</v>
      </c>
      <c r="E1025" t="s">
        <v>77</v>
      </c>
      <c r="F1025" t="s">
        <v>17</v>
      </c>
      <c r="G1025">
        <v>12</v>
      </c>
      <c r="H1025">
        <v>32</v>
      </c>
      <c r="I1025" s="1">
        <f t="shared" si="15"/>
        <v>0.375</v>
      </c>
      <c r="J1025" t="s">
        <v>60</v>
      </c>
      <c r="K1025" t="s">
        <v>527</v>
      </c>
      <c r="L1025" t="s">
        <v>526</v>
      </c>
      <c r="M1025" t="s">
        <v>199</v>
      </c>
      <c r="N1025" t="s">
        <v>50</v>
      </c>
    </row>
    <row r="1026" spans="1:14">
      <c r="A1026">
        <v>8258864</v>
      </c>
      <c r="B1026" t="s">
        <v>498</v>
      </c>
      <c r="C1026">
        <v>1993</v>
      </c>
      <c r="D1026" t="s">
        <v>53</v>
      </c>
      <c r="E1026" t="s">
        <v>77</v>
      </c>
      <c r="F1026" t="s">
        <v>17</v>
      </c>
      <c r="G1026">
        <v>2</v>
      </c>
      <c r="H1026">
        <v>34</v>
      </c>
      <c r="I1026" s="1">
        <f t="shared" si="15"/>
        <v>0.0588235294117647</v>
      </c>
      <c r="J1026" t="s">
        <v>55</v>
      </c>
      <c r="K1026" t="s">
        <v>56</v>
      </c>
      <c r="L1026" t="s">
        <v>53</v>
      </c>
      <c r="M1026" t="s">
        <v>199</v>
      </c>
      <c r="N1026" t="s">
        <v>50</v>
      </c>
    </row>
    <row r="1027" spans="1:14">
      <c r="A1027">
        <v>8355340</v>
      </c>
      <c r="B1027" t="s">
        <v>828</v>
      </c>
      <c r="C1027">
        <v>1993</v>
      </c>
      <c r="D1027" t="s">
        <v>22</v>
      </c>
      <c r="E1027" t="s">
        <v>16</v>
      </c>
      <c r="F1027" t="s">
        <v>101</v>
      </c>
      <c r="G1027">
        <v>139</v>
      </c>
      <c r="H1027">
        <v>295</v>
      </c>
      <c r="I1027" s="1">
        <f t="shared" ref="I1027:I1090" si="16">G1027/H1027</f>
        <v>0.471186440677966</v>
      </c>
      <c r="J1027" t="s">
        <v>23</v>
      </c>
      <c r="K1027" t="s">
        <v>24</v>
      </c>
      <c r="L1027" t="s">
        <v>22</v>
      </c>
      <c r="M1027" t="s">
        <v>20</v>
      </c>
      <c r="N1027" t="s">
        <v>21</v>
      </c>
    </row>
    <row r="1028" spans="1:14">
      <c r="A1028">
        <v>8355340</v>
      </c>
      <c r="B1028" t="s">
        <v>828</v>
      </c>
      <c r="C1028">
        <v>1993</v>
      </c>
      <c r="D1028" t="s">
        <v>22</v>
      </c>
      <c r="E1028" t="s">
        <v>51</v>
      </c>
      <c r="F1028" t="s">
        <v>101</v>
      </c>
      <c r="G1028">
        <v>1</v>
      </c>
      <c r="H1028">
        <v>43</v>
      </c>
      <c r="I1028" s="1">
        <f t="shared" si="16"/>
        <v>0.0232558139534884</v>
      </c>
      <c r="J1028" t="s">
        <v>23</v>
      </c>
      <c r="K1028" t="s">
        <v>24</v>
      </c>
      <c r="L1028" t="s">
        <v>22</v>
      </c>
      <c r="M1028" t="s">
        <v>20</v>
      </c>
      <c r="N1028" t="s">
        <v>21</v>
      </c>
    </row>
    <row r="1029" spans="1:14">
      <c r="A1029">
        <v>8394943</v>
      </c>
      <c r="B1029" t="s">
        <v>829</v>
      </c>
      <c r="C1029">
        <v>1993</v>
      </c>
      <c r="D1029" t="s">
        <v>15</v>
      </c>
      <c r="E1029" t="s">
        <v>77</v>
      </c>
      <c r="F1029" t="s">
        <v>54</v>
      </c>
      <c r="G1029">
        <v>521</v>
      </c>
      <c r="H1029">
        <v>1572</v>
      </c>
      <c r="I1029" s="1">
        <f t="shared" si="16"/>
        <v>0.331424936386768</v>
      </c>
      <c r="J1029" t="s">
        <v>18</v>
      </c>
      <c r="K1029" t="s">
        <v>19</v>
      </c>
      <c r="L1029" t="s">
        <v>15</v>
      </c>
      <c r="M1029" t="s">
        <v>20</v>
      </c>
      <c r="N1029" t="s">
        <v>21</v>
      </c>
    </row>
    <row r="1030" spans="1:14">
      <c r="A1030">
        <v>8583644</v>
      </c>
      <c r="B1030" t="s">
        <v>830</v>
      </c>
      <c r="C1030">
        <v>1995</v>
      </c>
      <c r="D1030" t="s">
        <v>181</v>
      </c>
      <c r="E1030" t="s">
        <v>77</v>
      </c>
      <c r="F1030" t="s">
        <v>17</v>
      </c>
      <c r="G1030">
        <v>165</v>
      </c>
      <c r="H1030">
        <v>338</v>
      </c>
      <c r="I1030" s="1">
        <f t="shared" si="16"/>
        <v>0.488165680473373</v>
      </c>
      <c r="J1030" t="s">
        <v>35</v>
      </c>
      <c r="K1030" t="s">
        <v>107</v>
      </c>
      <c r="L1030" t="s">
        <v>181</v>
      </c>
      <c r="M1030" t="s">
        <v>75</v>
      </c>
      <c r="N1030" t="s">
        <v>50</v>
      </c>
    </row>
    <row r="1031" spans="1:14">
      <c r="A1031">
        <v>8588313</v>
      </c>
      <c r="B1031" t="s">
        <v>831</v>
      </c>
      <c r="C1031">
        <v>1995</v>
      </c>
      <c r="D1031" t="s">
        <v>45</v>
      </c>
      <c r="E1031" t="s">
        <v>51</v>
      </c>
      <c r="F1031" t="s">
        <v>41</v>
      </c>
      <c r="G1031">
        <v>50</v>
      </c>
      <c r="H1031">
        <v>90</v>
      </c>
      <c r="I1031" s="1">
        <f t="shared" si="16"/>
        <v>0.555555555555556</v>
      </c>
      <c r="J1031" t="s">
        <v>23</v>
      </c>
      <c r="K1031" t="s">
        <v>46</v>
      </c>
      <c r="L1031" t="s">
        <v>45</v>
      </c>
      <c r="M1031" t="s">
        <v>49</v>
      </c>
      <c r="N1031" t="s">
        <v>50</v>
      </c>
    </row>
    <row r="1032" spans="1:14">
      <c r="A1032">
        <v>8592369</v>
      </c>
      <c r="B1032" t="s">
        <v>40</v>
      </c>
      <c r="C1032">
        <v>1995</v>
      </c>
      <c r="D1032" t="s">
        <v>15</v>
      </c>
      <c r="E1032" t="s">
        <v>16</v>
      </c>
      <c r="F1032" t="s">
        <v>54</v>
      </c>
      <c r="G1032">
        <v>0</v>
      </c>
      <c r="H1032">
        <v>1</v>
      </c>
      <c r="I1032" s="1">
        <f t="shared" si="16"/>
        <v>0</v>
      </c>
      <c r="J1032" t="s">
        <v>18</v>
      </c>
      <c r="K1032" t="s">
        <v>19</v>
      </c>
      <c r="L1032" t="s">
        <v>15</v>
      </c>
      <c r="M1032" t="s">
        <v>20</v>
      </c>
      <c r="N1032" t="s">
        <v>21</v>
      </c>
    </row>
    <row r="1033" spans="1:14">
      <c r="A1033">
        <v>8592369</v>
      </c>
      <c r="B1033" t="s">
        <v>40</v>
      </c>
      <c r="C1033">
        <v>1995</v>
      </c>
      <c r="D1033" t="s">
        <v>45</v>
      </c>
      <c r="E1033" t="s">
        <v>16</v>
      </c>
      <c r="F1033" t="s">
        <v>41</v>
      </c>
      <c r="G1033">
        <v>0</v>
      </c>
      <c r="H1033">
        <v>1</v>
      </c>
      <c r="I1033" s="1">
        <f t="shared" si="16"/>
        <v>0</v>
      </c>
      <c r="J1033" t="s">
        <v>23</v>
      </c>
      <c r="K1033" t="s">
        <v>46</v>
      </c>
      <c r="L1033" t="s">
        <v>45</v>
      </c>
      <c r="M1033" t="s">
        <v>20</v>
      </c>
      <c r="N1033" t="s">
        <v>21</v>
      </c>
    </row>
    <row r="1034" spans="1:14">
      <c r="A1034">
        <v>8592369</v>
      </c>
      <c r="B1034" t="s">
        <v>40</v>
      </c>
      <c r="C1034">
        <v>1995</v>
      </c>
      <c r="D1034" t="s">
        <v>832</v>
      </c>
      <c r="E1034" t="s">
        <v>16</v>
      </c>
      <c r="F1034" t="s">
        <v>101</v>
      </c>
      <c r="G1034">
        <v>1</v>
      </c>
      <c r="H1034">
        <v>1</v>
      </c>
      <c r="I1034" s="1">
        <f t="shared" si="16"/>
        <v>1</v>
      </c>
      <c r="J1034" t="s">
        <v>18</v>
      </c>
      <c r="K1034" t="s">
        <v>560</v>
      </c>
      <c r="L1034" t="s">
        <v>832</v>
      </c>
      <c r="M1034" t="s">
        <v>20</v>
      </c>
      <c r="N1034" t="s">
        <v>21</v>
      </c>
    </row>
    <row r="1035" spans="1:14">
      <c r="A1035">
        <v>8883350</v>
      </c>
      <c r="B1035" t="s">
        <v>257</v>
      </c>
      <c r="C1035">
        <v>1996</v>
      </c>
      <c r="D1035" t="s">
        <v>832</v>
      </c>
      <c r="E1035" t="s">
        <v>131</v>
      </c>
      <c r="F1035" t="s">
        <v>128</v>
      </c>
      <c r="G1035">
        <v>1</v>
      </c>
      <c r="H1035">
        <v>4</v>
      </c>
      <c r="I1035" s="1">
        <f t="shared" si="16"/>
        <v>0.25</v>
      </c>
      <c r="J1035" t="s">
        <v>559</v>
      </c>
      <c r="K1035" t="s">
        <v>560</v>
      </c>
      <c r="L1035" t="s">
        <v>832</v>
      </c>
      <c r="M1035" t="s">
        <v>833</v>
      </c>
      <c r="N1035" t="s">
        <v>50</v>
      </c>
    </row>
    <row r="1036" spans="1:14">
      <c r="A1036">
        <v>9027703</v>
      </c>
      <c r="B1036" t="s">
        <v>834</v>
      </c>
      <c r="C1036">
        <v>1997</v>
      </c>
      <c r="D1036" t="s">
        <v>45</v>
      </c>
      <c r="E1036" t="s">
        <v>51</v>
      </c>
      <c r="F1036" t="s">
        <v>41</v>
      </c>
      <c r="G1036">
        <v>98</v>
      </c>
      <c r="H1036">
        <v>177</v>
      </c>
      <c r="I1036" s="1">
        <f t="shared" si="16"/>
        <v>0.553672316384181</v>
      </c>
      <c r="J1036" t="s">
        <v>23</v>
      </c>
      <c r="K1036" t="s">
        <v>46</v>
      </c>
      <c r="L1036" t="s">
        <v>45</v>
      </c>
      <c r="M1036" t="s">
        <v>162</v>
      </c>
      <c r="N1036" t="s">
        <v>50</v>
      </c>
    </row>
    <row r="1037" spans="1:14">
      <c r="A1037">
        <v>9163886</v>
      </c>
      <c r="B1037" t="s">
        <v>40</v>
      </c>
      <c r="C1037">
        <v>1997</v>
      </c>
      <c r="D1037" t="s">
        <v>45</v>
      </c>
      <c r="E1037" t="s">
        <v>16</v>
      </c>
      <c r="F1037" t="s">
        <v>41</v>
      </c>
      <c r="G1037">
        <v>0</v>
      </c>
      <c r="H1037">
        <v>2</v>
      </c>
      <c r="I1037" s="1">
        <f t="shared" si="16"/>
        <v>0</v>
      </c>
      <c r="J1037" t="s">
        <v>23</v>
      </c>
      <c r="K1037" t="s">
        <v>46</v>
      </c>
      <c r="L1037" t="s">
        <v>45</v>
      </c>
      <c r="M1037" t="s">
        <v>20</v>
      </c>
      <c r="N1037" t="s">
        <v>21</v>
      </c>
    </row>
    <row r="1038" spans="1:14">
      <c r="A1038">
        <v>9220606</v>
      </c>
      <c r="B1038" t="s">
        <v>835</v>
      </c>
      <c r="C1038">
        <v>1997</v>
      </c>
      <c r="D1038" t="s">
        <v>15</v>
      </c>
      <c r="E1038" t="s">
        <v>77</v>
      </c>
      <c r="F1038" t="s">
        <v>17</v>
      </c>
      <c r="G1038">
        <v>1</v>
      </c>
      <c r="H1038">
        <v>1</v>
      </c>
      <c r="I1038" s="1">
        <f t="shared" si="16"/>
        <v>1</v>
      </c>
      <c r="J1038" t="s">
        <v>18</v>
      </c>
      <c r="K1038" t="s">
        <v>19</v>
      </c>
      <c r="L1038" t="s">
        <v>15</v>
      </c>
      <c r="M1038" t="s">
        <v>75</v>
      </c>
      <c r="N1038" t="s">
        <v>50</v>
      </c>
    </row>
    <row r="1039" spans="1:14">
      <c r="A1039">
        <v>9576354</v>
      </c>
      <c r="B1039" t="s">
        <v>40</v>
      </c>
      <c r="C1039">
        <v>1998</v>
      </c>
      <c r="D1039" t="s">
        <v>45</v>
      </c>
      <c r="E1039" t="s">
        <v>16</v>
      </c>
      <c r="F1039" t="s">
        <v>41</v>
      </c>
      <c r="G1039">
        <v>1</v>
      </c>
      <c r="H1039">
        <v>1</v>
      </c>
      <c r="I1039" s="1">
        <f t="shared" si="16"/>
        <v>1</v>
      </c>
      <c r="J1039" t="s">
        <v>23</v>
      </c>
      <c r="K1039" t="s">
        <v>46</v>
      </c>
      <c r="L1039" t="s">
        <v>45</v>
      </c>
      <c r="M1039" t="s">
        <v>20</v>
      </c>
      <c r="N1039" t="s">
        <v>21</v>
      </c>
    </row>
    <row r="1040" spans="1:14">
      <c r="A1040">
        <v>9577770</v>
      </c>
      <c r="B1040" t="s">
        <v>836</v>
      </c>
      <c r="C1040">
        <v>1998</v>
      </c>
      <c r="D1040" t="s">
        <v>837</v>
      </c>
      <c r="E1040" t="s">
        <v>167</v>
      </c>
      <c r="F1040" t="s">
        <v>28</v>
      </c>
      <c r="G1040">
        <v>3</v>
      </c>
      <c r="H1040">
        <v>7</v>
      </c>
      <c r="I1040" s="1">
        <f t="shared" si="16"/>
        <v>0.428571428571429</v>
      </c>
      <c r="J1040" t="s">
        <v>168</v>
      </c>
      <c r="K1040" t="s">
        <v>121</v>
      </c>
      <c r="L1040" t="s">
        <v>172</v>
      </c>
      <c r="M1040" t="s">
        <v>838</v>
      </c>
      <c r="N1040" t="s">
        <v>50</v>
      </c>
    </row>
    <row r="1041" spans="1:14">
      <c r="A1041">
        <v>9577771</v>
      </c>
      <c r="B1041" t="s">
        <v>219</v>
      </c>
      <c r="C1041">
        <v>1998</v>
      </c>
      <c r="D1041" t="s">
        <v>15</v>
      </c>
      <c r="E1041" t="s">
        <v>77</v>
      </c>
      <c r="F1041" t="s">
        <v>28</v>
      </c>
      <c r="G1041">
        <v>281</v>
      </c>
      <c r="H1041">
        <v>3143</v>
      </c>
      <c r="I1041" s="1">
        <f t="shared" si="16"/>
        <v>0.0894050270442253</v>
      </c>
      <c r="J1041" t="s">
        <v>18</v>
      </c>
      <c r="K1041" t="s">
        <v>19</v>
      </c>
      <c r="L1041" t="s">
        <v>15</v>
      </c>
      <c r="M1041" t="s">
        <v>49</v>
      </c>
      <c r="N1041" t="s">
        <v>50</v>
      </c>
    </row>
    <row r="1042" spans="1:14">
      <c r="A1042">
        <v>9621559</v>
      </c>
      <c r="B1042" t="s">
        <v>839</v>
      </c>
      <c r="C1042">
        <v>1998</v>
      </c>
      <c r="D1042" t="s">
        <v>22</v>
      </c>
      <c r="E1042" t="s">
        <v>48</v>
      </c>
      <c r="F1042" t="s">
        <v>17</v>
      </c>
      <c r="G1042">
        <v>9</v>
      </c>
      <c r="H1042">
        <v>30</v>
      </c>
      <c r="I1042" s="1">
        <f t="shared" si="16"/>
        <v>0.3</v>
      </c>
      <c r="J1042" t="s">
        <v>23</v>
      </c>
      <c r="K1042" t="s">
        <v>24</v>
      </c>
      <c r="L1042" t="s">
        <v>22</v>
      </c>
      <c r="M1042" t="s">
        <v>68</v>
      </c>
      <c r="N1042" t="s">
        <v>30</v>
      </c>
    </row>
    <row r="1043" spans="1:14">
      <c r="A1043">
        <v>9621559</v>
      </c>
      <c r="B1043" t="s">
        <v>839</v>
      </c>
      <c r="C1043">
        <v>1998</v>
      </c>
      <c r="D1043" t="s">
        <v>15</v>
      </c>
      <c r="E1043" t="s">
        <v>48</v>
      </c>
      <c r="F1043" t="s">
        <v>17</v>
      </c>
      <c r="G1043">
        <v>0</v>
      </c>
      <c r="H1043">
        <v>30</v>
      </c>
      <c r="I1043" s="1">
        <f t="shared" si="16"/>
        <v>0</v>
      </c>
      <c r="J1043" t="s">
        <v>18</v>
      </c>
      <c r="K1043" t="s">
        <v>19</v>
      </c>
      <c r="L1043" t="s">
        <v>15</v>
      </c>
      <c r="M1043" t="s">
        <v>68</v>
      </c>
      <c r="N1043" t="s">
        <v>30</v>
      </c>
    </row>
    <row r="1044" spans="1:14">
      <c r="A1044">
        <v>9621559</v>
      </c>
      <c r="B1044" t="s">
        <v>839</v>
      </c>
      <c r="C1044">
        <v>1998</v>
      </c>
      <c r="D1044" t="s">
        <v>79</v>
      </c>
      <c r="E1044" t="s">
        <v>48</v>
      </c>
      <c r="F1044" t="s">
        <v>41</v>
      </c>
      <c r="G1044">
        <v>0</v>
      </c>
      <c r="H1044">
        <v>30</v>
      </c>
      <c r="I1044" s="1">
        <f t="shared" si="16"/>
        <v>0</v>
      </c>
      <c r="J1044" t="s">
        <v>80</v>
      </c>
      <c r="K1044" t="s">
        <v>81</v>
      </c>
      <c r="L1044" t="s">
        <v>79</v>
      </c>
      <c r="M1044" t="s">
        <v>68</v>
      </c>
      <c r="N1044" t="s">
        <v>30</v>
      </c>
    </row>
    <row r="1045" spans="1:14">
      <c r="A1045">
        <v>9621559</v>
      </c>
      <c r="B1045" t="s">
        <v>839</v>
      </c>
      <c r="C1045">
        <v>1998</v>
      </c>
      <c r="D1045" t="s">
        <v>115</v>
      </c>
      <c r="E1045" t="s">
        <v>48</v>
      </c>
      <c r="F1045" t="s">
        <v>137</v>
      </c>
      <c r="G1045">
        <v>0</v>
      </c>
      <c r="H1045">
        <v>30</v>
      </c>
      <c r="I1045" s="1">
        <f t="shared" si="16"/>
        <v>0</v>
      </c>
      <c r="J1045" t="s">
        <v>38</v>
      </c>
      <c r="K1045" t="s">
        <v>39</v>
      </c>
      <c r="L1045" t="s">
        <v>115</v>
      </c>
      <c r="M1045" t="s">
        <v>68</v>
      </c>
      <c r="N1045" t="s">
        <v>30</v>
      </c>
    </row>
    <row r="1046" spans="1:14">
      <c r="A1046">
        <v>9705389</v>
      </c>
      <c r="B1046" t="s">
        <v>840</v>
      </c>
      <c r="C1046">
        <v>1998</v>
      </c>
      <c r="D1046" t="s">
        <v>837</v>
      </c>
      <c r="E1046" t="s">
        <v>167</v>
      </c>
      <c r="F1046" t="s">
        <v>64</v>
      </c>
      <c r="G1046">
        <v>0</v>
      </c>
      <c r="H1046">
        <v>147</v>
      </c>
      <c r="I1046" s="1">
        <f t="shared" si="16"/>
        <v>0</v>
      </c>
      <c r="J1046" t="s">
        <v>168</v>
      </c>
      <c r="K1046" t="s">
        <v>121</v>
      </c>
      <c r="L1046" t="s">
        <v>172</v>
      </c>
      <c r="M1046" t="s">
        <v>833</v>
      </c>
      <c r="N1046" t="s">
        <v>50</v>
      </c>
    </row>
    <row r="1047" spans="1:14">
      <c r="A1047">
        <v>9706552</v>
      </c>
      <c r="B1047" t="s">
        <v>47</v>
      </c>
      <c r="C1047">
        <v>1998</v>
      </c>
      <c r="D1047" t="s">
        <v>130</v>
      </c>
      <c r="E1047" t="s">
        <v>51</v>
      </c>
      <c r="F1047" t="s">
        <v>28</v>
      </c>
      <c r="G1047">
        <v>18</v>
      </c>
      <c r="H1047">
        <v>352</v>
      </c>
      <c r="I1047" s="1">
        <f t="shared" si="16"/>
        <v>0.0511363636363636</v>
      </c>
      <c r="J1047" t="s">
        <v>35</v>
      </c>
      <c r="K1047" t="s">
        <v>36</v>
      </c>
      <c r="L1047" t="s">
        <v>130</v>
      </c>
      <c r="M1047" t="s">
        <v>49</v>
      </c>
      <c r="N1047" t="s">
        <v>50</v>
      </c>
    </row>
    <row r="1048" spans="1:14">
      <c r="A1048">
        <v>9706552</v>
      </c>
      <c r="B1048" t="s">
        <v>47</v>
      </c>
      <c r="C1048">
        <v>1998</v>
      </c>
      <c r="D1048" t="s">
        <v>841</v>
      </c>
      <c r="E1048" t="s">
        <v>51</v>
      </c>
      <c r="F1048" t="s">
        <v>28</v>
      </c>
      <c r="G1048">
        <v>6</v>
      </c>
      <c r="H1048">
        <v>18</v>
      </c>
      <c r="I1048" s="1">
        <f t="shared" si="16"/>
        <v>0.333333333333333</v>
      </c>
      <c r="J1048" t="s">
        <v>35</v>
      </c>
      <c r="K1048" t="s">
        <v>36</v>
      </c>
      <c r="L1048" t="s">
        <v>841</v>
      </c>
      <c r="M1048" t="s">
        <v>49</v>
      </c>
      <c r="N1048" t="s">
        <v>50</v>
      </c>
    </row>
    <row r="1049" spans="1:14">
      <c r="A1049">
        <v>9706573</v>
      </c>
      <c r="B1049" t="s">
        <v>842</v>
      </c>
      <c r="C1049">
        <v>1998</v>
      </c>
      <c r="D1049" t="s">
        <v>22</v>
      </c>
      <c r="E1049" t="s">
        <v>51</v>
      </c>
      <c r="F1049" t="s">
        <v>41</v>
      </c>
      <c r="G1049">
        <v>2</v>
      </c>
      <c r="H1049">
        <v>51</v>
      </c>
      <c r="I1049" s="1">
        <f t="shared" si="16"/>
        <v>0.0392156862745098</v>
      </c>
      <c r="J1049" t="s">
        <v>23</v>
      </c>
      <c r="K1049" t="s">
        <v>24</v>
      </c>
      <c r="L1049" t="s">
        <v>22</v>
      </c>
      <c r="M1049" t="s">
        <v>20</v>
      </c>
      <c r="N1049" t="s">
        <v>21</v>
      </c>
    </row>
    <row r="1050" spans="1:14">
      <c r="A1050">
        <v>9813859</v>
      </c>
      <c r="B1050" t="s">
        <v>843</v>
      </c>
      <c r="C1050">
        <v>1998</v>
      </c>
      <c r="D1050" t="s">
        <v>15</v>
      </c>
      <c r="E1050" t="s">
        <v>77</v>
      </c>
      <c r="F1050" t="s">
        <v>41</v>
      </c>
      <c r="G1050">
        <v>0</v>
      </c>
      <c r="H1050">
        <v>120</v>
      </c>
      <c r="I1050" s="1">
        <f t="shared" si="16"/>
        <v>0</v>
      </c>
      <c r="J1050" t="s">
        <v>18</v>
      </c>
      <c r="K1050" t="s">
        <v>19</v>
      </c>
      <c r="L1050" t="s">
        <v>15</v>
      </c>
      <c r="M1050" t="s">
        <v>20</v>
      </c>
      <c r="N1050" t="s">
        <v>21</v>
      </c>
    </row>
    <row r="1051" spans="1:14">
      <c r="A1051">
        <v>9813859</v>
      </c>
      <c r="B1051" t="s">
        <v>843</v>
      </c>
      <c r="C1051">
        <v>1998</v>
      </c>
      <c r="D1051" t="s">
        <v>84</v>
      </c>
      <c r="E1051" t="s">
        <v>77</v>
      </c>
      <c r="F1051" t="s">
        <v>137</v>
      </c>
      <c r="G1051">
        <v>13</v>
      </c>
      <c r="H1051">
        <v>117</v>
      </c>
      <c r="I1051" s="1">
        <f t="shared" si="16"/>
        <v>0.111111111111111</v>
      </c>
      <c r="J1051" t="s">
        <v>85</v>
      </c>
      <c r="K1051" t="s">
        <v>86</v>
      </c>
      <c r="L1051" t="s">
        <v>84</v>
      </c>
      <c r="M1051" t="s">
        <v>20</v>
      </c>
      <c r="N1051" t="s">
        <v>21</v>
      </c>
    </row>
    <row r="1052" spans="1:14">
      <c r="A1052">
        <v>9813859</v>
      </c>
      <c r="B1052" t="s">
        <v>843</v>
      </c>
      <c r="C1052">
        <v>1998</v>
      </c>
      <c r="D1052" t="s">
        <v>112</v>
      </c>
      <c r="E1052" t="s">
        <v>77</v>
      </c>
      <c r="F1052" t="s">
        <v>41</v>
      </c>
      <c r="G1052">
        <v>0</v>
      </c>
      <c r="H1052">
        <v>117</v>
      </c>
      <c r="I1052" s="1">
        <f t="shared" si="16"/>
        <v>0</v>
      </c>
      <c r="J1052" t="s">
        <v>80</v>
      </c>
      <c r="K1052" t="s">
        <v>113</v>
      </c>
      <c r="L1052" t="s">
        <v>112</v>
      </c>
      <c r="M1052" t="s">
        <v>20</v>
      </c>
      <c r="N1052" t="s">
        <v>21</v>
      </c>
    </row>
    <row r="1053" spans="1:14">
      <c r="A1053">
        <v>9813859</v>
      </c>
      <c r="B1053" t="s">
        <v>843</v>
      </c>
      <c r="C1053">
        <v>1998</v>
      </c>
      <c r="D1053" t="s">
        <v>82</v>
      </c>
      <c r="E1053" t="s">
        <v>77</v>
      </c>
      <c r="F1053" t="s">
        <v>41</v>
      </c>
      <c r="G1053">
        <v>20</v>
      </c>
      <c r="H1053">
        <v>117</v>
      </c>
      <c r="I1053" s="1">
        <f t="shared" si="16"/>
        <v>0.170940170940171</v>
      </c>
      <c r="J1053" t="s">
        <v>38</v>
      </c>
      <c r="K1053" t="s">
        <v>39</v>
      </c>
      <c r="L1053" t="s">
        <v>82</v>
      </c>
      <c r="M1053" t="s">
        <v>20</v>
      </c>
      <c r="N1053" t="s">
        <v>21</v>
      </c>
    </row>
    <row r="1054" spans="1:14">
      <c r="A1054">
        <v>9813859</v>
      </c>
      <c r="B1054" t="s">
        <v>843</v>
      </c>
      <c r="C1054">
        <v>1998</v>
      </c>
      <c r="D1054" t="s">
        <v>540</v>
      </c>
      <c r="E1054" t="s">
        <v>77</v>
      </c>
      <c r="F1054" t="s">
        <v>28</v>
      </c>
      <c r="G1054">
        <v>0</v>
      </c>
      <c r="H1054">
        <v>109</v>
      </c>
      <c r="I1054" s="1">
        <f t="shared" si="16"/>
        <v>0</v>
      </c>
      <c r="J1054" t="s">
        <v>23</v>
      </c>
      <c r="K1054" t="s">
        <v>46</v>
      </c>
      <c r="L1054" t="s">
        <v>540</v>
      </c>
      <c r="M1054" t="s">
        <v>20</v>
      </c>
      <c r="N1054" t="s">
        <v>21</v>
      </c>
    </row>
    <row r="1055" spans="1:14">
      <c r="A1055">
        <v>9813859</v>
      </c>
      <c r="B1055" t="s">
        <v>843</v>
      </c>
      <c r="C1055">
        <v>1998</v>
      </c>
      <c r="D1055" t="s">
        <v>79</v>
      </c>
      <c r="E1055" t="s">
        <v>77</v>
      </c>
      <c r="F1055" t="s">
        <v>41</v>
      </c>
      <c r="G1055">
        <v>2</v>
      </c>
      <c r="H1055">
        <v>117</v>
      </c>
      <c r="I1055" s="1">
        <f t="shared" si="16"/>
        <v>0.0170940170940171</v>
      </c>
      <c r="J1055" t="s">
        <v>80</v>
      </c>
      <c r="K1055" t="s">
        <v>81</v>
      </c>
      <c r="L1055" t="s">
        <v>79</v>
      </c>
      <c r="M1055" t="s">
        <v>20</v>
      </c>
      <c r="N1055" t="s">
        <v>21</v>
      </c>
    </row>
    <row r="1056" spans="1:14">
      <c r="A1056">
        <v>9825797</v>
      </c>
      <c r="B1056" t="s">
        <v>844</v>
      </c>
      <c r="C1056">
        <v>1998</v>
      </c>
      <c r="D1056" t="s">
        <v>111</v>
      </c>
      <c r="E1056" t="s">
        <v>51</v>
      </c>
      <c r="F1056" t="s">
        <v>41</v>
      </c>
      <c r="G1056">
        <v>2</v>
      </c>
      <c r="H1056">
        <v>485</v>
      </c>
      <c r="I1056" s="1">
        <f t="shared" si="16"/>
        <v>0.00412371134020619</v>
      </c>
      <c r="J1056" t="s">
        <v>18</v>
      </c>
      <c r="K1056" t="s">
        <v>19</v>
      </c>
      <c r="L1056" t="s">
        <v>111</v>
      </c>
      <c r="M1056" t="s">
        <v>49</v>
      </c>
      <c r="N1056" t="s">
        <v>50</v>
      </c>
    </row>
    <row r="1057" spans="1:14">
      <c r="A1057">
        <v>9825797</v>
      </c>
      <c r="B1057" t="s">
        <v>844</v>
      </c>
      <c r="C1057">
        <v>1998</v>
      </c>
      <c r="D1057" t="s">
        <v>22</v>
      </c>
      <c r="E1057" t="s">
        <v>51</v>
      </c>
      <c r="F1057" t="s">
        <v>17</v>
      </c>
      <c r="G1057">
        <v>17</v>
      </c>
      <c r="H1057">
        <v>383</v>
      </c>
      <c r="I1057" s="1">
        <f t="shared" si="16"/>
        <v>0.0443864229765013</v>
      </c>
      <c r="J1057" t="s">
        <v>23</v>
      </c>
      <c r="K1057" t="s">
        <v>24</v>
      </c>
      <c r="L1057" t="s">
        <v>22</v>
      </c>
      <c r="M1057" t="s">
        <v>49</v>
      </c>
      <c r="N1057" t="s">
        <v>50</v>
      </c>
    </row>
    <row r="1058" spans="1:14">
      <c r="A1058">
        <v>9825797</v>
      </c>
      <c r="B1058" t="s">
        <v>844</v>
      </c>
      <c r="C1058">
        <v>1998</v>
      </c>
      <c r="D1058" t="s">
        <v>115</v>
      </c>
      <c r="E1058" t="s">
        <v>51</v>
      </c>
      <c r="F1058" t="s">
        <v>137</v>
      </c>
      <c r="G1058">
        <v>65</v>
      </c>
      <c r="H1058">
        <v>500</v>
      </c>
      <c r="I1058" s="1">
        <f t="shared" si="16"/>
        <v>0.13</v>
      </c>
      <c r="J1058" t="s">
        <v>38</v>
      </c>
      <c r="K1058" t="s">
        <v>39</v>
      </c>
      <c r="L1058" t="s">
        <v>115</v>
      </c>
      <c r="M1058" t="s">
        <v>49</v>
      </c>
      <c r="N1058" t="s">
        <v>50</v>
      </c>
    </row>
    <row r="1059" spans="1:14">
      <c r="A1059">
        <v>9825797</v>
      </c>
      <c r="B1059" t="s">
        <v>844</v>
      </c>
      <c r="C1059">
        <v>1998</v>
      </c>
      <c r="D1059" t="s">
        <v>110</v>
      </c>
      <c r="E1059" t="s">
        <v>51</v>
      </c>
      <c r="F1059" t="s">
        <v>41</v>
      </c>
      <c r="G1059">
        <v>17</v>
      </c>
      <c r="H1059">
        <v>485</v>
      </c>
      <c r="I1059" s="1">
        <f t="shared" si="16"/>
        <v>0.0350515463917526</v>
      </c>
      <c r="J1059" t="s">
        <v>43</v>
      </c>
      <c r="K1059" t="s">
        <v>44</v>
      </c>
      <c r="L1059" t="s">
        <v>110</v>
      </c>
      <c r="M1059" t="s">
        <v>49</v>
      </c>
      <c r="N1059" t="s">
        <v>50</v>
      </c>
    </row>
    <row r="1060" spans="1:14">
      <c r="A1060">
        <v>9854316</v>
      </c>
      <c r="B1060" t="s">
        <v>845</v>
      </c>
      <c r="C1060">
        <v>1998</v>
      </c>
      <c r="D1060" t="s">
        <v>22</v>
      </c>
      <c r="E1060" t="s">
        <v>131</v>
      </c>
      <c r="F1060" t="s">
        <v>64</v>
      </c>
      <c r="G1060">
        <v>0</v>
      </c>
      <c r="H1060">
        <v>8</v>
      </c>
      <c r="I1060" s="1">
        <f t="shared" si="16"/>
        <v>0</v>
      </c>
      <c r="J1060" t="s">
        <v>245</v>
      </c>
      <c r="K1060" t="s">
        <v>24</v>
      </c>
      <c r="L1060" t="s">
        <v>22</v>
      </c>
      <c r="M1060" t="s">
        <v>202</v>
      </c>
      <c r="N1060" t="s">
        <v>50</v>
      </c>
    </row>
    <row r="1061" spans="1:14">
      <c r="A1061">
        <v>9854316</v>
      </c>
      <c r="B1061" t="s">
        <v>845</v>
      </c>
      <c r="C1061">
        <v>1998</v>
      </c>
      <c r="D1061" t="s">
        <v>846</v>
      </c>
      <c r="E1061" t="s">
        <v>131</v>
      </c>
      <c r="F1061" t="s">
        <v>137</v>
      </c>
      <c r="G1061">
        <v>0</v>
      </c>
      <c r="H1061">
        <v>2</v>
      </c>
      <c r="I1061" s="1">
        <f t="shared" si="16"/>
        <v>0</v>
      </c>
      <c r="J1061" t="s">
        <v>611</v>
      </c>
      <c r="K1061" t="s">
        <v>86</v>
      </c>
      <c r="L1061" t="s">
        <v>846</v>
      </c>
      <c r="M1061" t="s">
        <v>202</v>
      </c>
      <c r="N1061" t="s">
        <v>50</v>
      </c>
    </row>
    <row r="1062" spans="1:14">
      <c r="A1062">
        <v>9854316</v>
      </c>
      <c r="B1062" t="s">
        <v>845</v>
      </c>
      <c r="C1062">
        <v>1998</v>
      </c>
      <c r="D1062" t="s">
        <v>24</v>
      </c>
      <c r="E1062" t="s">
        <v>131</v>
      </c>
      <c r="F1062" t="s">
        <v>137</v>
      </c>
      <c r="G1062">
        <v>0</v>
      </c>
      <c r="H1062">
        <v>2</v>
      </c>
      <c r="I1062" s="1">
        <f t="shared" si="16"/>
        <v>0</v>
      </c>
      <c r="J1062" t="s">
        <v>245</v>
      </c>
      <c r="K1062" t="s">
        <v>24</v>
      </c>
      <c r="L1062" t="s">
        <v>172</v>
      </c>
      <c r="M1062" t="s">
        <v>202</v>
      </c>
      <c r="N1062" t="s">
        <v>50</v>
      </c>
    </row>
    <row r="1063" spans="1:14">
      <c r="A1063" t="s">
        <v>847</v>
      </c>
      <c r="B1063" t="s">
        <v>848</v>
      </c>
      <c r="C1063">
        <v>2020</v>
      </c>
      <c r="D1063" t="s">
        <v>249</v>
      </c>
      <c r="E1063" t="s">
        <v>77</v>
      </c>
      <c r="F1063" t="s">
        <v>64</v>
      </c>
      <c r="G1063">
        <v>1</v>
      </c>
      <c r="H1063">
        <v>1</v>
      </c>
      <c r="I1063" s="1">
        <f t="shared" si="16"/>
        <v>1</v>
      </c>
      <c r="J1063" t="s">
        <v>250</v>
      </c>
      <c r="K1063" t="s">
        <v>251</v>
      </c>
      <c r="L1063" t="s">
        <v>249</v>
      </c>
      <c r="M1063" t="s">
        <v>29</v>
      </c>
      <c r="N1063" t="s">
        <v>30</v>
      </c>
    </row>
    <row r="1064" spans="1:14">
      <c r="A1064" t="s">
        <v>849</v>
      </c>
      <c r="B1064" t="s">
        <v>850</v>
      </c>
      <c r="C1064">
        <v>2009</v>
      </c>
      <c r="D1064" t="s">
        <v>79</v>
      </c>
      <c r="E1064" t="s">
        <v>77</v>
      </c>
      <c r="F1064" t="s">
        <v>28</v>
      </c>
      <c r="G1064">
        <v>7</v>
      </c>
      <c r="H1064">
        <v>20</v>
      </c>
      <c r="I1064" s="1">
        <f t="shared" si="16"/>
        <v>0.35</v>
      </c>
      <c r="J1064" t="s">
        <v>80</v>
      </c>
      <c r="K1064" t="s">
        <v>81</v>
      </c>
      <c r="L1064" t="s">
        <v>79</v>
      </c>
      <c r="M1064" t="s">
        <v>29</v>
      </c>
      <c r="N1064" t="s">
        <v>30</v>
      </c>
    </row>
    <row r="1065" spans="1:14">
      <c r="A1065" t="s">
        <v>851</v>
      </c>
      <c r="B1065" t="s">
        <v>852</v>
      </c>
      <c r="C1065">
        <v>2015</v>
      </c>
      <c r="D1065" t="s">
        <v>176</v>
      </c>
      <c r="E1065" t="s">
        <v>77</v>
      </c>
      <c r="F1065" t="s">
        <v>64</v>
      </c>
      <c r="G1065">
        <v>4</v>
      </c>
      <c r="H1065">
        <v>40</v>
      </c>
      <c r="I1065" s="1">
        <f t="shared" si="16"/>
        <v>0.1</v>
      </c>
      <c r="J1065" t="s">
        <v>55</v>
      </c>
      <c r="K1065" t="s">
        <v>56</v>
      </c>
      <c r="L1065" t="s">
        <v>176</v>
      </c>
      <c r="M1065" t="s">
        <v>29</v>
      </c>
      <c r="N1065" t="s">
        <v>30</v>
      </c>
    </row>
    <row r="1066" spans="1:14">
      <c r="A1066" t="s">
        <v>853</v>
      </c>
      <c r="B1066" t="s">
        <v>854</v>
      </c>
      <c r="C1066">
        <v>2005</v>
      </c>
      <c r="D1066" t="s">
        <v>139</v>
      </c>
      <c r="E1066" t="s">
        <v>27</v>
      </c>
      <c r="F1066" t="s">
        <v>64</v>
      </c>
      <c r="G1066">
        <v>0</v>
      </c>
      <c r="H1066">
        <v>270</v>
      </c>
      <c r="I1066" s="1">
        <f t="shared" si="16"/>
        <v>0</v>
      </c>
      <c r="J1066" t="s">
        <v>80</v>
      </c>
      <c r="K1066" t="s">
        <v>113</v>
      </c>
      <c r="L1066" t="s">
        <v>139</v>
      </c>
      <c r="M1066" t="s">
        <v>29</v>
      </c>
      <c r="N1066" t="s">
        <v>30</v>
      </c>
    </row>
    <row r="1067" spans="1:14">
      <c r="A1067" t="s">
        <v>855</v>
      </c>
      <c r="B1067" t="s">
        <v>856</v>
      </c>
      <c r="C1067">
        <v>2004</v>
      </c>
      <c r="D1067" t="s">
        <v>139</v>
      </c>
      <c r="E1067" t="s">
        <v>27</v>
      </c>
      <c r="F1067" t="s">
        <v>64</v>
      </c>
      <c r="G1067">
        <v>9</v>
      </c>
      <c r="H1067">
        <v>113</v>
      </c>
      <c r="I1067" s="1">
        <f t="shared" si="16"/>
        <v>0.079646017699115</v>
      </c>
      <c r="J1067" t="s">
        <v>80</v>
      </c>
      <c r="K1067" t="s">
        <v>113</v>
      </c>
      <c r="L1067" t="s">
        <v>139</v>
      </c>
      <c r="M1067" t="s">
        <v>29</v>
      </c>
      <c r="N1067" t="s">
        <v>30</v>
      </c>
    </row>
    <row r="1068" spans="1:14">
      <c r="A1068" t="s">
        <v>857</v>
      </c>
      <c r="B1068" t="s">
        <v>858</v>
      </c>
      <c r="C1068">
        <v>2005</v>
      </c>
      <c r="D1068" t="s">
        <v>112</v>
      </c>
      <c r="E1068" t="s">
        <v>48</v>
      </c>
      <c r="F1068" t="s">
        <v>64</v>
      </c>
      <c r="G1068">
        <v>22</v>
      </c>
      <c r="H1068">
        <v>24</v>
      </c>
      <c r="I1068" s="1">
        <f t="shared" si="16"/>
        <v>0.916666666666667</v>
      </c>
      <c r="J1068" t="s">
        <v>80</v>
      </c>
      <c r="K1068" t="s">
        <v>113</v>
      </c>
      <c r="L1068" t="s">
        <v>112</v>
      </c>
      <c r="M1068" t="s">
        <v>29</v>
      </c>
      <c r="N1068" t="s">
        <v>30</v>
      </c>
    </row>
    <row r="1069" spans="1:14">
      <c r="A1069" t="s">
        <v>859</v>
      </c>
      <c r="B1069" t="s">
        <v>860</v>
      </c>
      <c r="C1069">
        <v>2009</v>
      </c>
      <c r="D1069" t="s">
        <v>22</v>
      </c>
      <c r="E1069" t="s">
        <v>48</v>
      </c>
      <c r="F1069" t="s">
        <v>64</v>
      </c>
      <c r="G1069">
        <v>5</v>
      </c>
      <c r="H1069">
        <v>5</v>
      </c>
      <c r="I1069" s="1">
        <f t="shared" si="16"/>
        <v>1</v>
      </c>
      <c r="J1069" t="s">
        <v>23</v>
      </c>
      <c r="K1069" t="s">
        <v>24</v>
      </c>
      <c r="L1069" t="s">
        <v>22</v>
      </c>
      <c r="M1069" t="s">
        <v>29</v>
      </c>
      <c r="N1069" t="s">
        <v>30</v>
      </c>
    </row>
    <row r="1070" spans="1:14">
      <c r="A1070" t="s">
        <v>861</v>
      </c>
      <c r="B1070" t="s">
        <v>862</v>
      </c>
      <c r="C1070">
        <v>2019</v>
      </c>
      <c r="D1070" t="s">
        <v>124</v>
      </c>
      <c r="E1070" t="s">
        <v>77</v>
      </c>
      <c r="F1070" t="s">
        <v>64</v>
      </c>
      <c r="G1070">
        <v>0</v>
      </c>
      <c r="H1070">
        <v>248</v>
      </c>
      <c r="I1070" s="1">
        <f t="shared" si="16"/>
        <v>0</v>
      </c>
      <c r="J1070" t="s">
        <v>125</v>
      </c>
      <c r="K1070" t="s">
        <v>126</v>
      </c>
      <c r="L1070" t="s">
        <v>124</v>
      </c>
      <c r="M1070" t="s">
        <v>29</v>
      </c>
      <c r="N1070" t="s">
        <v>30</v>
      </c>
    </row>
    <row r="1071" spans="1:14">
      <c r="A1071" t="s">
        <v>863</v>
      </c>
      <c r="B1071" t="s">
        <v>864</v>
      </c>
      <c r="C1071">
        <v>2017</v>
      </c>
      <c r="D1071" t="s">
        <v>106</v>
      </c>
      <c r="E1071" t="s">
        <v>77</v>
      </c>
      <c r="F1071" t="s">
        <v>28</v>
      </c>
      <c r="G1071">
        <v>0</v>
      </c>
      <c r="H1071">
        <v>30</v>
      </c>
      <c r="I1071" s="1">
        <f t="shared" si="16"/>
        <v>0</v>
      </c>
      <c r="J1071" t="s">
        <v>35</v>
      </c>
      <c r="K1071" t="s">
        <v>107</v>
      </c>
      <c r="L1071" t="s">
        <v>106</v>
      </c>
      <c r="M1071" t="s">
        <v>29</v>
      </c>
      <c r="N1071" t="s">
        <v>30</v>
      </c>
    </row>
    <row r="1072" spans="1:14">
      <c r="A1072" t="s">
        <v>863</v>
      </c>
      <c r="B1072" t="s">
        <v>864</v>
      </c>
      <c r="C1072">
        <v>2017</v>
      </c>
      <c r="D1072" t="s">
        <v>79</v>
      </c>
      <c r="E1072" t="s">
        <v>77</v>
      </c>
      <c r="F1072" t="s">
        <v>28</v>
      </c>
      <c r="G1072">
        <v>0</v>
      </c>
      <c r="H1072">
        <v>30</v>
      </c>
      <c r="I1072" s="1">
        <f t="shared" si="16"/>
        <v>0</v>
      </c>
      <c r="J1072" t="s">
        <v>80</v>
      </c>
      <c r="K1072" t="s">
        <v>81</v>
      </c>
      <c r="L1072" t="s">
        <v>79</v>
      </c>
      <c r="M1072" t="s">
        <v>29</v>
      </c>
      <c r="N1072" t="s">
        <v>30</v>
      </c>
    </row>
    <row r="1073" spans="1:14">
      <c r="A1073" t="s">
        <v>863</v>
      </c>
      <c r="B1073" t="s">
        <v>864</v>
      </c>
      <c r="C1073">
        <v>2017</v>
      </c>
      <c r="D1073" t="s">
        <v>83</v>
      </c>
      <c r="E1073" t="s">
        <v>77</v>
      </c>
      <c r="F1073" t="s">
        <v>28</v>
      </c>
      <c r="G1073">
        <v>1</v>
      </c>
      <c r="H1073">
        <v>30</v>
      </c>
      <c r="I1073" s="1">
        <f t="shared" si="16"/>
        <v>0.0333333333333333</v>
      </c>
      <c r="J1073" t="s">
        <v>55</v>
      </c>
      <c r="K1073" t="s">
        <v>56</v>
      </c>
      <c r="L1073" t="s">
        <v>83</v>
      </c>
      <c r="M1073" t="s">
        <v>29</v>
      </c>
      <c r="N1073" t="s">
        <v>30</v>
      </c>
    </row>
    <row r="1074" spans="1:14">
      <c r="A1074" t="s">
        <v>863</v>
      </c>
      <c r="B1074" t="s">
        <v>864</v>
      </c>
      <c r="C1074">
        <v>2017</v>
      </c>
      <c r="D1074" t="s">
        <v>93</v>
      </c>
      <c r="E1074" t="s">
        <v>77</v>
      </c>
      <c r="F1074" t="s">
        <v>28</v>
      </c>
      <c r="G1074">
        <v>0</v>
      </c>
      <c r="H1074">
        <v>30</v>
      </c>
      <c r="I1074" s="1">
        <f t="shared" si="16"/>
        <v>0</v>
      </c>
      <c r="J1074" t="s">
        <v>94</v>
      </c>
      <c r="K1074" t="s">
        <v>95</v>
      </c>
      <c r="L1074" t="s">
        <v>93</v>
      </c>
      <c r="M1074" t="s">
        <v>29</v>
      </c>
      <c r="N1074" t="s">
        <v>30</v>
      </c>
    </row>
    <row r="1075" spans="1:14">
      <c r="A1075" t="s">
        <v>863</v>
      </c>
      <c r="B1075" t="s">
        <v>864</v>
      </c>
      <c r="C1075">
        <v>2017</v>
      </c>
      <c r="D1075" t="s">
        <v>15</v>
      </c>
      <c r="E1075" t="s">
        <v>77</v>
      </c>
      <c r="F1075" t="s">
        <v>28</v>
      </c>
      <c r="G1075">
        <v>0</v>
      </c>
      <c r="H1075">
        <v>30</v>
      </c>
      <c r="I1075" s="1">
        <f t="shared" si="16"/>
        <v>0</v>
      </c>
      <c r="J1075" t="s">
        <v>18</v>
      </c>
      <c r="K1075" t="s">
        <v>19</v>
      </c>
      <c r="L1075" t="s">
        <v>15</v>
      </c>
      <c r="M1075" t="s">
        <v>29</v>
      </c>
      <c r="N1075" t="s">
        <v>30</v>
      </c>
    </row>
    <row r="1076" spans="1:14">
      <c r="A1076" t="s">
        <v>865</v>
      </c>
      <c r="B1076" t="s">
        <v>234</v>
      </c>
      <c r="C1076">
        <v>2021</v>
      </c>
      <c r="D1076" t="s">
        <v>15</v>
      </c>
      <c r="E1076" t="s">
        <v>77</v>
      </c>
      <c r="F1076" t="s">
        <v>64</v>
      </c>
      <c r="G1076">
        <v>0</v>
      </c>
      <c r="H1076">
        <v>29</v>
      </c>
      <c r="I1076" s="1">
        <f t="shared" si="16"/>
        <v>0</v>
      </c>
      <c r="J1076" t="s">
        <v>18</v>
      </c>
      <c r="K1076" t="s">
        <v>19</v>
      </c>
      <c r="L1076" t="s">
        <v>15</v>
      </c>
      <c r="M1076" t="s">
        <v>29</v>
      </c>
      <c r="N1076" t="s">
        <v>30</v>
      </c>
    </row>
    <row r="1077" spans="1:14">
      <c r="A1077" t="s">
        <v>865</v>
      </c>
      <c r="B1077" t="s">
        <v>234</v>
      </c>
      <c r="C1077">
        <v>2021</v>
      </c>
      <c r="D1077" t="s">
        <v>93</v>
      </c>
      <c r="E1077" t="s">
        <v>77</v>
      </c>
      <c r="F1077" t="s">
        <v>64</v>
      </c>
      <c r="G1077">
        <v>0</v>
      </c>
      <c r="H1077">
        <v>29</v>
      </c>
      <c r="I1077" s="1">
        <f t="shared" si="16"/>
        <v>0</v>
      </c>
      <c r="J1077" t="s">
        <v>94</v>
      </c>
      <c r="K1077" t="s">
        <v>95</v>
      </c>
      <c r="L1077" t="s">
        <v>93</v>
      </c>
      <c r="M1077" t="s">
        <v>29</v>
      </c>
      <c r="N1077" t="s">
        <v>30</v>
      </c>
    </row>
    <row r="1078" spans="1:14">
      <c r="A1078" t="s">
        <v>866</v>
      </c>
      <c r="B1078" t="s">
        <v>867</v>
      </c>
      <c r="C1078">
        <v>2005</v>
      </c>
      <c r="D1078" t="s">
        <v>139</v>
      </c>
      <c r="E1078" t="s">
        <v>27</v>
      </c>
      <c r="F1078" t="s">
        <v>64</v>
      </c>
      <c r="G1078">
        <v>0</v>
      </c>
      <c r="H1078">
        <v>99</v>
      </c>
      <c r="I1078" s="1">
        <f t="shared" si="16"/>
        <v>0</v>
      </c>
      <c r="J1078" t="s">
        <v>80</v>
      </c>
      <c r="K1078" t="s">
        <v>113</v>
      </c>
      <c r="L1078" t="s">
        <v>139</v>
      </c>
      <c r="M1078" t="s">
        <v>29</v>
      </c>
      <c r="N1078" t="s">
        <v>30</v>
      </c>
    </row>
    <row r="1079" spans="1:14">
      <c r="A1079" t="s">
        <v>868</v>
      </c>
      <c r="B1079" t="s">
        <v>869</v>
      </c>
      <c r="C1079">
        <v>2005</v>
      </c>
      <c r="D1079" t="s">
        <v>139</v>
      </c>
      <c r="E1079" t="s">
        <v>27</v>
      </c>
      <c r="F1079" t="s">
        <v>28</v>
      </c>
      <c r="G1079">
        <v>0</v>
      </c>
      <c r="H1079">
        <v>111</v>
      </c>
      <c r="I1079" s="1">
        <f t="shared" si="16"/>
        <v>0</v>
      </c>
      <c r="J1079" t="s">
        <v>80</v>
      </c>
      <c r="K1079" t="s">
        <v>113</v>
      </c>
      <c r="L1079" t="s">
        <v>139</v>
      </c>
      <c r="M1079" t="s">
        <v>29</v>
      </c>
      <c r="N1079" t="s">
        <v>30</v>
      </c>
    </row>
    <row r="1080" spans="1:14">
      <c r="A1080" t="s">
        <v>870</v>
      </c>
      <c r="B1080" t="s">
        <v>871</v>
      </c>
      <c r="C1080">
        <v>2015</v>
      </c>
      <c r="D1080" t="s">
        <v>15</v>
      </c>
      <c r="E1080" t="s">
        <v>77</v>
      </c>
      <c r="F1080" t="s">
        <v>28</v>
      </c>
      <c r="G1080">
        <v>4</v>
      </c>
      <c r="H1080">
        <v>34</v>
      </c>
      <c r="I1080" s="1">
        <f t="shared" si="16"/>
        <v>0.117647058823529</v>
      </c>
      <c r="J1080" t="s">
        <v>18</v>
      </c>
      <c r="K1080" t="s">
        <v>19</v>
      </c>
      <c r="L1080" t="s">
        <v>15</v>
      </c>
      <c r="M1080" t="s">
        <v>29</v>
      </c>
      <c r="N1080" t="s">
        <v>30</v>
      </c>
    </row>
    <row r="1081" spans="1:14">
      <c r="A1081" t="s">
        <v>872</v>
      </c>
      <c r="B1081" t="s">
        <v>873</v>
      </c>
      <c r="C1081">
        <v>2007</v>
      </c>
      <c r="D1081" t="s">
        <v>83</v>
      </c>
      <c r="E1081" t="s">
        <v>77</v>
      </c>
      <c r="F1081" t="s">
        <v>64</v>
      </c>
      <c r="G1081">
        <v>0</v>
      </c>
      <c r="H1081">
        <v>28</v>
      </c>
      <c r="I1081" s="1">
        <f t="shared" si="16"/>
        <v>0</v>
      </c>
      <c r="J1081" t="s">
        <v>55</v>
      </c>
      <c r="K1081" t="s">
        <v>56</v>
      </c>
      <c r="L1081" t="s">
        <v>83</v>
      </c>
      <c r="M1081" t="s">
        <v>29</v>
      </c>
      <c r="N1081" t="s">
        <v>30</v>
      </c>
    </row>
    <row r="1082" spans="1:14">
      <c r="A1082" t="s">
        <v>874</v>
      </c>
      <c r="B1082" t="s">
        <v>860</v>
      </c>
      <c r="C1082">
        <v>2005</v>
      </c>
      <c r="D1082" t="s">
        <v>139</v>
      </c>
      <c r="E1082" t="s">
        <v>51</v>
      </c>
      <c r="F1082" t="s">
        <v>64</v>
      </c>
      <c r="G1082">
        <v>3</v>
      </c>
      <c r="H1082">
        <v>5</v>
      </c>
      <c r="I1082" s="1">
        <f t="shared" si="16"/>
        <v>0.6</v>
      </c>
      <c r="J1082" t="s">
        <v>80</v>
      </c>
      <c r="K1082" t="s">
        <v>113</v>
      </c>
      <c r="L1082" t="s">
        <v>139</v>
      </c>
      <c r="M1082" t="s">
        <v>29</v>
      </c>
      <c r="N1082" t="s">
        <v>30</v>
      </c>
    </row>
    <row r="1083" spans="1:14">
      <c r="A1083" t="s">
        <v>874</v>
      </c>
      <c r="B1083" t="s">
        <v>860</v>
      </c>
      <c r="C1083">
        <v>2005</v>
      </c>
      <c r="D1083" t="s">
        <v>139</v>
      </c>
      <c r="E1083" t="s">
        <v>27</v>
      </c>
      <c r="F1083" t="s">
        <v>64</v>
      </c>
      <c r="G1083">
        <v>0</v>
      </c>
      <c r="H1083">
        <v>22</v>
      </c>
      <c r="I1083" s="1">
        <f t="shared" si="16"/>
        <v>0</v>
      </c>
      <c r="J1083" t="s">
        <v>80</v>
      </c>
      <c r="K1083" t="s">
        <v>113</v>
      </c>
      <c r="L1083" t="s">
        <v>139</v>
      </c>
      <c r="M1083" t="s">
        <v>29</v>
      </c>
      <c r="N1083" t="s">
        <v>30</v>
      </c>
    </row>
    <row r="1084" spans="1:14">
      <c r="A1084" t="s">
        <v>875</v>
      </c>
      <c r="B1084" t="s">
        <v>876</v>
      </c>
      <c r="C1084">
        <v>2016</v>
      </c>
      <c r="D1084" t="s">
        <v>106</v>
      </c>
      <c r="E1084" t="s">
        <v>77</v>
      </c>
      <c r="F1084" t="s">
        <v>64</v>
      </c>
      <c r="G1084">
        <v>0</v>
      </c>
      <c r="H1084">
        <v>90</v>
      </c>
      <c r="I1084" s="1">
        <f t="shared" si="16"/>
        <v>0</v>
      </c>
      <c r="J1084" t="s">
        <v>35</v>
      </c>
      <c r="K1084" t="s">
        <v>107</v>
      </c>
      <c r="L1084" t="s">
        <v>106</v>
      </c>
      <c r="M1084" t="s">
        <v>29</v>
      </c>
      <c r="N1084" t="s">
        <v>30</v>
      </c>
    </row>
    <row r="1085" spans="1:14">
      <c r="A1085" t="s">
        <v>875</v>
      </c>
      <c r="B1085" t="s">
        <v>876</v>
      </c>
      <c r="C1085">
        <v>2016</v>
      </c>
      <c r="D1085" t="s">
        <v>15</v>
      </c>
      <c r="E1085" t="s">
        <v>77</v>
      </c>
      <c r="F1085" t="s">
        <v>64</v>
      </c>
      <c r="G1085">
        <v>0</v>
      </c>
      <c r="H1085">
        <v>90</v>
      </c>
      <c r="I1085" s="1">
        <f t="shared" si="16"/>
        <v>0</v>
      </c>
      <c r="J1085" t="s">
        <v>18</v>
      </c>
      <c r="K1085" t="s">
        <v>19</v>
      </c>
      <c r="L1085" t="s">
        <v>15</v>
      </c>
      <c r="M1085" t="s">
        <v>29</v>
      </c>
      <c r="N1085" t="s">
        <v>30</v>
      </c>
    </row>
    <row r="1086" spans="1:14">
      <c r="A1086" t="s">
        <v>875</v>
      </c>
      <c r="B1086" t="s">
        <v>876</v>
      </c>
      <c r="C1086">
        <v>2016</v>
      </c>
      <c r="D1086" t="s">
        <v>83</v>
      </c>
      <c r="E1086" t="s">
        <v>77</v>
      </c>
      <c r="F1086" t="s">
        <v>64</v>
      </c>
      <c r="G1086">
        <v>0</v>
      </c>
      <c r="H1086">
        <v>90</v>
      </c>
      <c r="I1086" s="1">
        <f t="shared" si="16"/>
        <v>0</v>
      </c>
      <c r="J1086" t="s">
        <v>55</v>
      </c>
      <c r="K1086" t="s">
        <v>56</v>
      </c>
      <c r="L1086" t="s">
        <v>83</v>
      </c>
      <c r="M1086" t="s">
        <v>29</v>
      </c>
      <c r="N1086" t="s">
        <v>30</v>
      </c>
    </row>
    <row r="1087" spans="1:14">
      <c r="A1087" t="s">
        <v>875</v>
      </c>
      <c r="B1087" t="s">
        <v>876</v>
      </c>
      <c r="C1087">
        <v>2016</v>
      </c>
      <c r="D1087" t="s">
        <v>79</v>
      </c>
      <c r="E1087" t="s">
        <v>77</v>
      </c>
      <c r="F1087" t="s">
        <v>64</v>
      </c>
      <c r="G1087">
        <v>0</v>
      </c>
      <c r="H1087">
        <v>90</v>
      </c>
      <c r="I1087" s="1">
        <f t="shared" si="16"/>
        <v>0</v>
      </c>
      <c r="J1087" t="s">
        <v>80</v>
      </c>
      <c r="K1087" t="s">
        <v>81</v>
      </c>
      <c r="L1087" t="s">
        <v>79</v>
      </c>
      <c r="M1087" t="s">
        <v>29</v>
      </c>
      <c r="N1087" t="s">
        <v>30</v>
      </c>
    </row>
    <row r="1088" spans="1:14">
      <c r="A1088" t="s">
        <v>877</v>
      </c>
      <c r="B1088" t="s">
        <v>236</v>
      </c>
      <c r="C1088">
        <v>2008</v>
      </c>
      <c r="D1088" t="s">
        <v>79</v>
      </c>
      <c r="E1088" t="s">
        <v>77</v>
      </c>
      <c r="F1088" t="s">
        <v>64</v>
      </c>
      <c r="G1088">
        <v>11</v>
      </c>
      <c r="H1088">
        <v>18</v>
      </c>
      <c r="I1088" s="1">
        <f t="shared" si="16"/>
        <v>0.611111111111111</v>
      </c>
      <c r="J1088" t="s">
        <v>80</v>
      </c>
      <c r="K1088" t="s">
        <v>81</v>
      </c>
      <c r="L1088" t="s">
        <v>79</v>
      </c>
      <c r="M1088" t="s">
        <v>29</v>
      </c>
      <c r="N1088" t="s">
        <v>30</v>
      </c>
    </row>
    <row r="1089" spans="1:14">
      <c r="A1089" t="s">
        <v>878</v>
      </c>
      <c r="B1089" t="s">
        <v>879</v>
      </c>
      <c r="C1089">
        <v>2016</v>
      </c>
      <c r="D1089" t="s">
        <v>22</v>
      </c>
      <c r="E1089" t="s">
        <v>27</v>
      </c>
      <c r="F1089" t="s">
        <v>101</v>
      </c>
      <c r="G1089">
        <v>5</v>
      </c>
      <c r="H1089">
        <v>5</v>
      </c>
      <c r="I1089" s="1">
        <f t="shared" si="16"/>
        <v>1</v>
      </c>
      <c r="J1089" t="s">
        <v>23</v>
      </c>
      <c r="K1089" t="s">
        <v>24</v>
      </c>
      <c r="L1089" t="s">
        <v>22</v>
      </c>
      <c r="M1089" t="s">
        <v>29</v>
      </c>
      <c r="N1089" t="s">
        <v>30</v>
      </c>
    </row>
    <row r="1090" spans="1:14">
      <c r="A1090" t="s">
        <v>880</v>
      </c>
      <c r="B1090" t="s">
        <v>852</v>
      </c>
      <c r="C1090">
        <v>2003</v>
      </c>
      <c r="D1090" t="s">
        <v>110</v>
      </c>
      <c r="E1090" t="s">
        <v>27</v>
      </c>
      <c r="F1090" t="s">
        <v>64</v>
      </c>
      <c r="G1090">
        <v>1</v>
      </c>
      <c r="H1090">
        <v>4</v>
      </c>
      <c r="I1090" s="1">
        <f t="shared" si="16"/>
        <v>0.25</v>
      </c>
      <c r="J1090" t="s">
        <v>43</v>
      </c>
      <c r="K1090" t="s">
        <v>44</v>
      </c>
      <c r="L1090" t="s">
        <v>110</v>
      </c>
      <c r="M1090" t="s">
        <v>29</v>
      </c>
      <c r="N1090" t="s">
        <v>30</v>
      </c>
    </row>
    <row r="1091" spans="1:14">
      <c r="A1091" t="s">
        <v>881</v>
      </c>
      <c r="B1091" t="s">
        <v>882</v>
      </c>
      <c r="C1091">
        <v>2001</v>
      </c>
      <c r="D1091" t="s">
        <v>99</v>
      </c>
      <c r="E1091" t="s">
        <v>27</v>
      </c>
      <c r="F1091" t="s">
        <v>101</v>
      </c>
      <c r="G1091">
        <v>10</v>
      </c>
      <c r="H1091">
        <v>10</v>
      </c>
      <c r="I1091" s="1">
        <f t="shared" ref="I1091:I1154" si="17">G1091/H1091</f>
        <v>1</v>
      </c>
      <c r="J1091" t="s">
        <v>38</v>
      </c>
      <c r="K1091" t="s">
        <v>39</v>
      </c>
      <c r="L1091" t="s">
        <v>99</v>
      </c>
      <c r="M1091" t="s">
        <v>29</v>
      </c>
      <c r="N1091" t="s">
        <v>30</v>
      </c>
    </row>
    <row r="1092" spans="1:14">
      <c r="A1092" t="s">
        <v>883</v>
      </c>
      <c r="B1092" t="s">
        <v>884</v>
      </c>
      <c r="C1092">
        <v>2008</v>
      </c>
      <c r="D1092" t="s">
        <v>426</v>
      </c>
      <c r="E1092" t="s">
        <v>27</v>
      </c>
      <c r="F1092" t="s">
        <v>64</v>
      </c>
      <c r="G1092">
        <v>1</v>
      </c>
      <c r="H1092">
        <v>192</v>
      </c>
      <c r="I1092" s="1">
        <f t="shared" si="17"/>
        <v>0.00520833333333333</v>
      </c>
      <c r="J1092" t="s">
        <v>278</v>
      </c>
      <c r="K1092" t="s">
        <v>427</v>
      </c>
      <c r="L1092" t="s">
        <v>426</v>
      </c>
      <c r="M1092" t="s">
        <v>29</v>
      </c>
      <c r="N1092" t="s">
        <v>30</v>
      </c>
    </row>
    <row r="1093" spans="1:14">
      <c r="A1093" t="s">
        <v>885</v>
      </c>
      <c r="B1093" t="s">
        <v>886</v>
      </c>
      <c r="C1093">
        <v>2022</v>
      </c>
      <c r="D1093" t="s">
        <v>249</v>
      </c>
      <c r="E1093" t="s">
        <v>77</v>
      </c>
      <c r="F1093" t="s">
        <v>64</v>
      </c>
      <c r="G1093">
        <v>0</v>
      </c>
      <c r="H1093">
        <v>20</v>
      </c>
      <c r="I1093" s="1">
        <f t="shared" si="17"/>
        <v>0</v>
      </c>
      <c r="J1093" t="s">
        <v>250</v>
      </c>
      <c r="K1093" t="s">
        <v>251</v>
      </c>
      <c r="L1093" t="s">
        <v>249</v>
      </c>
      <c r="M1093" t="s">
        <v>29</v>
      </c>
      <c r="N1093" t="s">
        <v>30</v>
      </c>
    </row>
    <row r="1094" spans="1:14">
      <c r="A1094" t="s">
        <v>887</v>
      </c>
      <c r="B1094" t="s">
        <v>888</v>
      </c>
      <c r="C1094">
        <v>2014</v>
      </c>
      <c r="D1094" t="s">
        <v>110</v>
      </c>
      <c r="E1094" t="s">
        <v>48</v>
      </c>
      <c r="F1094" t="s">
        <v>128</v>
      </c>
      <c r="G1094">
        <v>4</v>
      </c>
      <c r="H1094">
        <v>4</v>
      </c>
      <c r="I1094" s="1">
        <f t="shared" si="17"/>
        <v>1</v>
      </c>
      <c r="J1094" t="s">
        <v>43</v>
      </c>
      <c r="K1094" t="s">
        <v>44</v>
      </c>
      <c r="L1094" t="s">
        <v>110</v>
      </c>
      <c r="M1094" t="s">
        <v>29</v>
      </c>
      <c r="N1094" t="s">
        <v>30</v>
      </c>
    </row>
    <row r="1095" spans="1:14">
      <c r="A1095" t="s">
        <v>889</v>
      </c>
      <c r="B1095" t="s">
        <v>890</v>
      </c>
      <c r="C1095">
        <v>1989</v>
      </c>
      <c r="D1095" t="s">
        <v>22</v>
      </c>
      <c r="E1095" t="s">
        <v>48</v>
      </c>
      <c r="F1095" t="s">
        <v>101</v>
      </c>
      <c r="G1095">
        <v>7</v>
      </c>
      <c r="H1095">
        <v>7</v>
      </c>
      <c r="I1095" s="1">
        <f t="shared" si="17"/>
        <v>1</v>
      </c>
      <c r="J1095" t="s">
        <v>23</v>
      </c>
      <c r="K1095" t="s">
        <v>24</v>
      </c>
      <c r="L1095" t="s">
        <v>22</v>
      </c>
      <c r="M1095" t="s">
        <v>29</v>
      </c>
      <c r="N1095" t="s">
        <v>30</v>
      </c>
    </row>
    <row r="1096" spans="1:14">
      <c r="A1096" t="s">
        <v>891</v>
      </c>
      <c r="B1096" t="s">
        <v>236</v>
      </c>
      <c r="C1096">
        <v>2023</v>
      </c>
      <c r="D1096" t="s">
        <v>99</v>
      </c>
      <c r="E1096" t="s">
        <v>48</v>
      </c>
      <c r="F1096" t="s">
        <v>64</v>
      </c>
      <c r="G1096">
        <v>60</v>
      </c>
      <c r="H1096">
        <v>60</v>
      </c>
      <c r="I1096" s="1">
        <f t="shared" si="17"/>
        <v>1</v>
      </c>
      <c r="J1096" t="s">
        <v>38</v>
      </c>
      <c r="K1096" t="s">
        <v>39</v>
      </c>
      <c r="L1096" t="s">
        <v>99</v>
      </c>
      <c r="M1096" t="s">
        <v>29</v>
      </c>
      <c r="N1096" t="s">
        <v>30</v>
      </c>
    </row>
    <row r="1097" spans="1:14">
      <c r="A1097" t="s">
        <v>892</v>
      </c>
      <c r="B1097" t="s">
        <v>884</v>
      </c>
      <c r="C1097">
        <v>2010</v>
      </c>
      <c r="D1097" t="s">
        <v>45</v>
      </c>
      <c r="E1097" t="s">
        <v>48</v>
      </c>
      <c r="F1097" t="s">
        <v>64</v>
      </c>
      <c r="G1097">
        <v>5</v>
      </c>
      <c r="H1097">
        <v>5</v>
      </c>
      <c r="I1097" s="1">
        <f t="shared" si="17"/>
        <v>1</v>
      </c>
      <c r="J1097" t="s">
        <v>23</v>
      </c>
      <c r="K1097" t="s">
        <v>46</v>
      </c>
      <c r="L1097" t="s">
        <v>45</v>
      </c>
      <c r="M1097" t="s">
        <v>29</v>
      </c>
      <c r="N1097" t="s">
        <v>30</v>
      </c>
    </row>
    <row r="1098" spans="1:14">
      <c r="A1098" t="s">
        <v>892</v>
      </c>
      <c r="B1098" t="s">
        <v>884</v>
      </c>
      <c r="C1098">
        <v>2010</v>
      </c>
      <c r="D1098" t="s">
        <v>22</v>
      </c>
      <c r="E1098" t="s">
        <v>48</v>
      </c>
      <c r="F1098" t="s">
        <v>64</v>
      </c>
      <c r="G1098">
        <v>0</v>
      </c>
      <c r="H1098">
        <v>5</v>
      </c>
      <c r="I1098" s="1">
        <f t="shared" si="17"/>
        <v>0</v>
      </c>
      <c r="J1098" t="s">
        <v>23</v>
      </c>
      <c r="K1098" t="s">
        <v>24</v>
      </c>
      <c r="L1098" t="s">
        <v>22</v>
      </c>
      <c r="M1098" t="s">
        <v>29</v>
      </c>
      <c r="N1098" t="s">
        <v>30</v>
      </c>
    </row>
    <row r="1099" spans="1:14">
      <c r="A1099" t="s">
        <v>892</v>
      </c>
      <c r="B1099" t="s">
        <v>884</v>
      </c>
      <c r="C1099">
        <v>2010</v>
      </c>
      <c r="D1099" t="s">
        <v>45</v>
      </c>
      <c r="E1099" t="s">
        <v>51</v>
      </c>
      <c r="F1099" t="s">
        <v>64</v>
      </c>
      <c r="G1099">
        <v>0</v>
      </c>
      <c r="H1099">
        <v>1</v>
      </c>
      <c r="I1099" s="1">
        <f t="shared" si="17"/>
        <v>0</v>
      </c>
      <c r="J1099" t="s">
        <v>23</v>
      </c>
      <c r="K1099" t="s">
        <v>46</v>
      </c>
      <c r="L1099" t="s">
        <v>45</v>
      </c>
      <c r="M1099" t="s">
        <v>29</v>
      </c>
      <c r="N1099" t="s">
        <v>30</v>
      </c>
    </row>
    <row r="1100" spans="1:14">
      <c r="A1100" t="s">
        <v>893</v>
      </c>
      <c r="B1100" t="s">
        <v>894</v>
      </c>
      <c r="C1100">
        <v>2013</v>
      </c>
      <c r="D1100" t="s">
        <v>22</v>
      </c>
      <c r="E1100" t="s">
        <v>48</v>
      </c>
      <c r="F1100" t="s">
        <v>64</v>
      </c>
      <c r="G1100">
        <v>5</v>
      </c>
      <c r="H1100">
        <v>5</v>
      </c>
      <c r="I1100" s="1">
        <f t="shared" si="17"/>
        <v>1</v>
      </c>
      <c r="J1100" t="s">
        <v>23</v>
      </c>
      <c r="K1100" t="s">
        <v>24</v>
      </c>
      <c r="L1100" t="s">
        <v>22</v>
      </c>
      <c r="M1100" t="s">
        <v>29</v>
      </c>
      <c r="N1100" t="s">
        <v>30</v>
      </c>
    </row>
    <row r="1101" spans="1:14">
      <c r="A1101" t="s">
        <v>895</v>
      </c>
      <c r="B1101" t="s">
        <v>896</v>
      </c>
      <c r="C1101">
        <v>2009</v>
      </c>
      <c r="D1101" t="s">
        <v>99</v>
      </c>
      <c r="E1101" t="s">
        <v>48</v>
      </c>
      <c r="F1101" t="s">
        <v>64</v>
      </c>
      <c r="G1101">
        <v>8</v>
      </c>
      <c r="H1101">
        <v>8</v>
      </c>
      <c r="I1101" s="1">
        <f t="shared" si="17"/>
        <v>1</v>
      </c>
      <c r="J1101" t="s">
        <v>38</v>
      </c>
      <c r="K1101" t="s">
        <v>39</v>
      </c>
      <c r="L1101" t="s">
        <v>99</v>
      </c>
      <c r="M1101" t="s">
        <v>29</v>
      </c>
      <c r="N1101" t="s">
        <v>30</v>
      </c>
    </row>
    <row r="1102" spans="1:14">
      <c r="A1102" t="s">
        <v>897</v>
      </c>
      <c r="B1102" t="s">
        <v>862</v>
      </c>
      <c r="C1102">
        <v>2015</v>
      </c>
      <c r="D1102" t="s">
        <v>83</v>
      </c>
      <c r="E1102" t="s">
        <v>77</v>
      </c>
      <c r="F1102" t="s">
        <v>28</v>
      </c>
      <c r="G1102">
        <v>1</v>
      </c>
      <c r="H1102">
        <v>24</v>
      </c>
      <c r="I1102" s="1">
        <f t="shared" si="17"/>
        <v>0.0416666666666667</v>
      </c>
      <c r="J1102" t="s">
        <v>55</v>
      </c>
      <c r="K1102" t="s">
        <v>56</v>
      </c>
      <c r="L1102" t="s">
        <v>83</v>
      </c>
      <c r="M1102" t="s">
        <v>29</v>
      </c>
      <c r="N1102" t="s">
        <v>30</v>
      </c>
    </row>
    <row r="1103" spans="1:14">
      <c r="A1103" t="s">
        <v>897</v>
      </c>
      <c r="B1103" t="s">
        <v>862</v>
      </c>
      <c r="C1103">
        <v>2015</v>
      </c>
      <c r="D1103" t="s">
        <v>93</v>
      </c>
      <c r="E1103" t="s">
        <v>77</v>
      </c>
      <c r="F1103" t="s">
        <v>28</v>
      </c>
      <c r="G1103">
        <v>0</v>
      </c>
      <c r="H1103">
        <v>24</v>
      </c>
      <c r="I1103" s="1">
        <f t="shared" si="17"/>
        <v>0</v>
      </c>
      <c r="J1103" t="s">
        <v>94</v>
      </c>
      <c r="K1103" t="s">
        <v>95</v>
      </c>
      <c r="L1103" t="s">
        <v>93</v>
      </c>
      <c r="M1103" t="s">
        <v>29</v>
      </c>
      <c r="N1103" t="s">
        <v>30</v>
      </c>
    </row>
    <row r="1104" spans="1:14">
      <c r="A1104" t="s">
        <v>897</v>
      </c>
      <c r="B1104" t="s">
        <v>862</v>
      </c>
      <c r="C1104">
        <v>2015</v>
      </c>
      <c r="D1104" t="s">
        <v>79</v>
      </c>
      <c r="E1104" t="s">
        <v>77</v>
      </c>
      <c r="F1104" t="s">
        <v>28</v>
      </c>
      <c r="G1104">
        <v>0</v>
      </c>
      <c r="H1104">
        <v>24</v>
      </c>
      <c r="I1104" s="1">
        <f t="shared" si="17"/>
        <v>0</v>
      </c>
      <c r="J1104" t="s">
        <v>80</v>
      </c>
      <c r="K1104" t="s">
        <v>81</v>
      </c>
      <c r="L1104" t="s">
        <v>79</v>
      </c>
      <c r="M1104" t="s">
        <v>29</v>
      </c>
      <c r="N1104" t="s">
        <v>30</v>
      </c>
    </row>
    <row r="1105" spans="1:14">
      <c r="A1105" t="s">
        <v>897</v>
      </c>
      <c r="B1105" t="s">
        <v>862</v>
      </c>
      <c r="C1105">
        <v>2015</v>
      </c>
      <c r="D1105" t="s">
        <v>15</v>
      </c>
      <c r="E1105" t="s">
        <v>77</v>
      </c>
      <c r="F1105" t="s">
        <v>28</v>
      </c>
      <c r="G1105">
        <v>0</v>
      </c>
      <c r="H1105">
        <v>24</v>
      </c>
      <c r="I1105" s="1">
        <f t="shared" si="17"/>
        <v>0</v>
      </c>
      <c r="J1105" t="s">
        <v>18</v>
      </c>
      <c r="K1105" t="s">
        <v>19</v>
      </c>
      <c r="L1105" t="s">
        <v>15</v>
      </c>
      <c r="M1105" t="s">
        <v>29</v>
      </c>
      <c r="N1105" t="s">
        <v>30</v>
      </c>
    </row>
    <row r="1106" spans="1:14">
      <c r="A1106" t="s">
        <v>898</v>
      </c>
      <c r="B1106" t="s">
        <v>899</v>
      </c>
      <c r="C1106">
        <v>2000</v>
      </c>
      <c r="D1106" t="s">
        <v>99</v>
      </c>
      <c r="E1106" t="s">
        <v>48</v>
      </c>
      <c r="F1106" t="s">
        <v>54</v>
      </c>
      <c r="G1106">
        <v>15</v>
      </c>
      <c r="H1106">
        <v>270</v>
      </c>
      <c r="I1106" s="1">
        <f t="shared" si="17"/>
        <v>0.0555555555555556</v>
      </c>
      <c r="J1106" t="s">
        <v>38</v>
      </c>
      <c r="K1106" t="s">
        <v>39</v>
      </c>
      <c r="L1106" t="s">
        <v>99</v>
      </c>
      <c r="M1106" t="s">
        <v>29</v>
      </c>
      <c r="N1106" t="s">
        <v>30</v>
      </c>
    </row>
    <row r="1107" spans="1:14">
      <c r="A1107" t="s">
        <v>898</v>
      </c>
      <c r="B1107" t="s">
        <v>899</v>
      </c>
      <c r="C1107">
        <v>2000</v>
      </c>
      <c r="D1107" t="s">
        <v>22</v>
      </c>
      <c r="E1107" t="s">
        <v>48</v>
      </c>
      <c r="F1107" t="s">
        <v>54</v>
      </c>
      <c r="G1107">
        <v>210</v>
      </c>
      <c r="H1107">
        <v>270</v>
      </c>
      <c r="I1107" s="1">
        <f t="shared" si="17"/>
        <v>0.777777777777778</v>
      </c>
      <c r="J1107" t="s">
        <v>23</v>
      </c>
      <c r="K1107" t="s">
        <v>24</v>
      </c>
      <c r="L1107" t="s">
        <v>22</v>
      </c>
      <c r="M1107" t="s">
        <v>29</v>
      </c>
      <c r="N1107" t="s">
        <v>30</v>
      </c>
    </row>
    <row r="1108" spans="1:14">
      <c r="A1108" t="s">
        <v>900</v>
      </c>
      <c r="B1108" t="s">
        <v>901</v>
      </c>
      <c r="C1108">
        <v>2020</v>
      </c>
      <c r="D1108" t="s">
        <v>249</v>
      </c>
      <c r="E1108" t="s">
        <v>77</v>
      </c>
      <c r="F1108" t="s">
        <v>64</v>
      </c>
      <c r="G1108">
        <v>16</v>
      </c>
      <c r="H1108">
        <v>23</v>
      </c>
      <c r="I1108" s="1">
        <f t="shared" si="17"/>
        <v>0.695652173913043</v>
      </c>
      <c r="J1108" t="s">
        <v>250</v>
      </c>
      <c r="K1108" t="s">
        <v>251</v>
      </c>
      <c r="L1108" t="s">
        <v>249</v>
      </c>
      <c r="M1108" t="s">
        <v>29</v>
      </c>
      <c r="N1108" t="s">
        <v>30</v>
      </c>
    </row>
    <row r="1109" spans="1:14">
      <c r="A1109" t="s">
        <v>902</v>
      </c>
      <c r="B1109" t="s">
        <v>903</v>
      </c>
      <c r="C1109">
        <v>2022</v>
      </c>
      <c r="D1109" t="s">
        <v>454</v>
      </c>
      <c r="E1109" t="s">
        <v>167</v>
      </c>
      <c r="F1109" t="s">
        <v>64</v>
      </c>
      <c r="G1109">
        <v>0</v>
      </c>
      <c r="H1109">
        <v>5</v>
      </c>
      <c r="I1109" s="1">
        <f t="shared" si="17"/>
        <v>0</v>
      </c>
      <c r="J1109" t="s">
        <v>231</v>
      </c>
      <c r="K1109" t="s">
        <v>455</v>
      </c>
      <c r="L1109" t="s">
        <v>454</v>
      </c>
      <c r="M1109" t="s">
        <v>456</v>
      </c>
      <c r="N1109" t="s">
        <v>30</v>
      </c>
    </row>
    <row r="1110" spans="1:14">
      <c r="A1110" t="s">
        <v>904</v>
      </c>
      <c r="B1110" t="s">
        <v>860</v>
      </c>
      <c r="C1110">
        <v>2018</v>
      </c>
      <c r="D1110" t="s">
        <v>79</v>
      </c>
      <c r="E1110" t="s">
        <v>77</v>
      </c>
      <c r="F1110" t="s">
        <v>54</v>
      </c>
      <c r="G1110">
        <v>0</v>
      </c>
      <c r="H1110">
        <v>156</v>
      </c>
      <c r="I1110" s="1">
        <f t="shared" si="17"/>
        <v>0</v>
      </c>
      <c r="J1110" t="s">
        <v>80</v>
      </c>
      <c r="K1110" t="s">
        <v>81</v>
      </c>
      <c r="L1110" t="s">
        <v>79</v>
      </c>
      <c r="M1110" t="s">
        <v>29</v>
      </c>
      <c r="N1110" t="s">
        <v>30</v>
      </c>
    </row>
    <row r="1111" spans="1:14">
      <c r="A1111" t="s">
        <v>904</v>
      </c>
      <c r="B1111" t="s">
        <v>860</v>
      </c>
      <c r="C1111">
        <v>2018</v>
      </c>
      <c r="D1111" t="s">
        <v>905</v>
      </c>
      <c r="E1111" t="s">
        <v>77</v>
      </c>
      <c r="F1111" t="s">
        <v>54</v>
      </c>
      <c r="G1111">
        <v>97</v>
      </c>
      <c r="H1111">
        <v>156</v>
      </c>
      <c r="I1111" s="1">
        <f t="shared" si="17"/>
        <v>0.621794871794872</v>
      </c>
      <c r="J1111" t="s">
        <v>94</v>
      </c>
      <c r="K1111" t="s">
        <v>95</v>
      </c>
      <c r="L1111" t="s">
        <v>905</v>
      </c>
      <c r="M1111" t="s">
        <v>29</v>
      </c>
      <c r="N1111" t="s">
        <v>30</v>
      </c>
    </row>
    <row r="1112" spans="1:14">
      <c r="A1112" t="s">
        <v>904</v>
      </c>
      <c r="B1112" t="s">
        <v>860</v>
      </c>
      <c r="C1112">
        <v>2018</v>
      </c>
      <c r="D1112" t="s">
        <v>15</v>
      </c>
      <c r="E1112" t="s">
        <v>77</v>
      </c>
      <c r="F1112" t="s">
        <v>54</v>
      </c>
      <c r="G1112">
        <v>0</v>
      </c>
      <c r="H1112">
        <v>156</v>
      </c>
      <c r="I1112" s="1">
        <f t="shared" si="17"/>
        <v>0</v>
      </c>
      <c r="J1112" t="s">
        <v>18</v>
      </c>
      <c r="K1112" t="s">
        <v>19</v>
      </c>
      <c r="L1112" t="s">
        <v>15</v>
      </c>
      <c r="M1112" t="s">
        <v>29</v>
      </c>
      <c r="N1112" t="s">
        <v>30</v>
      </c>
    </row>
    <row r="1113" spans="1:14">
      <c r="A1113" t="s">
        <v>904</v>
      </c>
      <c r="B1113" t="s">
        <v>860</v>
      </c>
      <c r="C1113">
        <v>2018</v>
      </c>
      <c r="D1113" t="s">
        <v>106</v>
      </c>
      <c r="E1113" t="s">
        <v>77</v>
      </c>
      <c r="F1113" t="s">
        <v>54</v>
      </c>
      <c r="G1113">
        <v>0</v>
      </c>
      <c r="H1113">
        <v>156</v>
      </c>
      <c r="I1113" s="1">
        <f t="shared" si="17"/>
        <v>0</v>
      </c>
      <c r="J1113" t="s">
        <v>35</v>
      </c>
      <c r="K1113" t="s">
        <v>107</v>
      </c>
      <c r="L1113" t="s">
        <v>106</v>
      </c>
      <c r="M1113" t="s">
        <v>29</v>
      </c>
      <c r="N1113" t="s">
        <v>30</v>
      </c>
    </row>
    <row r="1114" spans="1:14">
      <c r="A1114" t="s">
        <v>904</v>
      </c>
      <c r="B1114" t="s">
        <v>860</v>
      </c>
      <c r="C1114">
        <v>2018</v>
      </c>
      <c r="D1114" t="s">
        <v>83</v>
      </c>
      <c r="E1114" t="s">
        <v>77</v>
      </c>
      <c r="F1114" t="s">
        <v>54</v>
      </c>
      <c r="G1114">
        <v>0</v>
      </c>
      <c r="H1114">
        <v>156</v>
      </c>
      <c r="I1114" s="1">
        <f t="shared" si="17"/>
        <v>0</v>
      </c>
      <c r="J1114" t="s">
        <v>55</v>
      </c>
      <c r="K1114" t="s">
        <v>56</v>
      </c>
      <c r="L1114" t="s">
        <v>83</v>
      </c>
      <c r="M1114" t="s">
        <v>29</v>
      </c>
      <c r="N1114" t="s">
        <v>30</v>
      </c>
    </row>
    <row r="1115" spans="1:14">
      <c r="A1115" t="s">
        <v>906</v>
      </c>
      <c r="B1115" t="s">
        <v>860</v>
      </c>
      <c r="C1115">
        <v>2009</v>
      </c>
      <c r="D1115" t="s">
        <v>93</v>
      </c>
      <c r="E1115" t="s">
        <v>77</v>
      </c>
      <c r="F1115" t="s">
        <v>64</v>
      </c>
      <c r="G1115">
        <v>2</v>
      </c>
      <c r="H1115">
        <v>2</v>
      </c>
      <c r="I1115" s="1">
        <f t="shared" si="17"/>
        <v>1</v>
      </c>
      <c r="J1115" t="s">
        <v>94</v>
      </c>
      <c r="K1115" t="s">
        <v>95</v>
      </c>
      <c r="L1115" t="s">
        <v>93</v>
      </c>
      <c r="M1115" t="s">
        <v>29</v>
      </c>
      <c r="N1115" t="s">
        <v>30</v>
      </c>
    </row>
    <row r="1116" spans="1:14">
      <c r="A1116" t="s">
        <v>907</v>
      </c>
      <c r="B1116" t="s">
        <v>908</v>
      </c>
      <c r="C1116">
        <v>2023</v>
      </c>
      <c r="D1116" t="s">
        <v>15</v>
      </c>
      <c r="E1116" t="s">
        <v>77</v>
      </c>
      <c r="F1116" t="s">
        <v>64</v>
      </c>
      <c r="G1116">
        <v>0</v>
      </c>
      <c r="H1116">
        <v>2</v>
      </c>
      <c r="I1116" s="1">
        <f t="shared" si="17"/>
        <v>0</v>
      </c>
      <c r="J1116" t="s">
        <v>18</v>
      </c>
      <c r="K1116" t="s">
        <v>19</v>
      </c>
      <c r="L1116" t="s">
        <v>15</v>
      </c>
      <c r="M1116" t="s">
        <v>29</v>
      </c>
      <c r="N1116" t="s">
        <v>30</v>
      </c>
    </row>
    <row r="1117" spans="1:14">
      <c r="A1117" t="s">
        <v>907</v>
      </c>
      <c r="B1117" t="s">
        <v>908</v>
      </c>
      <c r="C1117">
        <v>2023</v>
      </c>
      <c r="D1117" t="s">
        <v>249</v>
      </c>
      <c r="E1117" t="s">
        <v>77</v>
      </c>
      <c r="F1117" t="s">
        <v>64</v>
      </c>
      <c r="G1117">
        <v>0</v>
      </c>
      <c r="H1117">
        <v>2</v>
      </c>
      <c r="I1117" s="1">
        <f t="shared" si="17"/>
        <v>0</v>
      </c>
      <c r="J1117" t="s">
        <v>250</v>
      </c>
      <c r="K1117" t="s">
        <v>251</v>
      </c>
      <c r="L1117" t="s">
        <v>249</v>
      </c>
      <c r="M1117" t="s">
        <v>29</v>
      </c>
      <c r="N1117" t="s">
        <v>30</v>
      </c>
    </row>
    <row r="1118" spans="1:14">
      <c r="A1118" t="s">
        <v>907</v>
      </c>
      <c r="B1118" t="s">
        <v>908</v>
      </c>
      <c r="C1118">
        <v>2023</v>
      </c>
      <c r="D1118" t="s">
        <v>83</v>
      </c>
      <c r="E1118" t="s">
        <v>77</v>
      </c>
      <c r="F1118" t="s">
        <v>64</v>
      </c>
      <c r="G1118">
        <v>0</v>
      </c>
      <c r="H1118">
        <v>2</v>
      </c>
      <c r="I1118" s="1">
        <f t="shared" si="17"/>
        <v>0</v>
      </c>
      <c r="J1118" t="s">
        <v>55</v>
      </c>
      <c r="K1118" t="s">
        <v>56</v>
      </c>
      <c r="L1118" t="s">
        <v>83</v>
      </c>
      <c r="M1118" t="s">
        <v>29</v>
      </c>
      <c r="N1118" t="s">
        <v>30</v>
      </c>
    </row>
    <row r="1119" spans="1:14">
      <c r="A1119" t="s">
        <v>907</v>
      </c>
      <c r="B1119" t="s">
        <v>908</v>
      </c>
      <c r="C1119">
        <v>2023</v>
      </c>
      <c r="D1119" t="s">
        <v>79</v>
      </c>
      <c r="E1119" t="s">
        <v>77</v>
      </c>
      <c r="F1119" t="s">
        <v>64</v>
      </c>
      <c r="G1119">
        <v>2</v>
      </c>
      <c r="H1119">
        <v>2</v>
      </c>
      <c r="I1119" s="1">
        <f t="shared" si="17"/>
        <v>1</v>
      </c>
      <c r="J1119" t="s">
        <v>80</v>
      </c>
      <c r="K1119" t="s">
        <v>81</v>
      </c>
      <c r="L1119" t="s">
        <v>79</v>
      </c>
      <c r="M1119" t="s">
        <v>29</v>
      </c>
      <c r="N1119" t="s">
        <v>30</v>
      </c>
    </row>
    <row r="1120" spans="1:14">
      <c r="A1120" t="s">
        <v>909</v>
      </c>
      <c r="B1120" t="s">
        <v>896</v>
      </c>
      <c r="C1120">
        <v>1988</v>
      </c>
      <c r="D1120" t="s">
        <v>22</v>
      </c>
      <c r="E1120" t="s">
        <v>48</v>
      </c>
      <c r="F1120" t="s">
        <v>101</v>
      </c>
      <c r="G1120">
        <v>340</v>
      </c>
      <c r="H1120">
        <v>400</v>
      </c>
      <c r="I1120" s="1">
        <f t="shared" si="17"/>
        <v>0.85</v>
      </c>
      <c r="J1120" t="s">
        <v>23</v>
      </c>
      <c r="K1120" t="s">
        <v>24</v>
      </c>
      <c r="L1120" t="s">
        <v>22</v>
      </c>
      <c r="M1120" t="s">
        <v>29</v>
      </c>
      <c r="N1120" t="s">
        <v>30</v>
      </c>
    </row>
    <row r="1121" spans="1:14">
      <c r="A1121" t="s">
        <v>910</v>
      </c>
      <c r="B1121" t="s">
        <v>879</v>
      </c>
      <c r="C1121">
        <v>2020</v>
      </c>
      <c r="D1121" t="s">
        <v>249</v>
      </c>
      <c r="E1121" t="s">
        <v>77</v>
      </c>
      <c r="F1121" t="s">
        <v>64</v>
      </c>
      <c r="G1121">
        <v>0</v>
      </c>
      <c r="H1121">
        <v>4</v>
      </c>
      <c r="I1121" s="1">
        <f t="shared" si="17"/>
        <v>0</v>
      </c>
      <c r="J1121" t="s">
        <v>250</v>
      </c>
      <c r="K1121" t="s">
        <v>251</v>
      </c>
      <c r="L1121" t="s">
        <v>249</v>
      </c>
      <c r="M1121" t="s">
        <v>29</v>
      </c>
      <c r="N1121" t="s">
        <v>30</v>
      </c>
    </row>
    <row r="1122" spans="1:14">
      <c r="A1122" t="s">
        <v>911</v>
      </c>
      <c r="B1122" t="s">
        <v>856</v>
      </c>
      <c r="C1122">
        <v>2004</v>
      </c>
      <c r="D1122" t="s">
        <v>139</v>
      </c>
      <c r="E1122" t="s">
        <v>27</v>
      </c>
      <c r="F1122" t="s">
        <v>64</v>
      </c>
      <c r="G1122">
        <v>18</v>
      </c>
      <c r="H1122">
        <v>20</v>
      </c>
      <c r="I1122" s="1">
        <f t="shared" si="17"/>
        <v>0.9</v>
      </c>
      <c r="J1122" t="s">
        <v>80</v>
      </c>
      <c r="K1122" t="s">
        <v>113</v>
      </c>
      <c r="L1122" t="s">
        <v>139</v>
      </c>
      <c r="M1122" t="s">
        <v>29</v>
      </c>
      <c r="N1122" t="s">
        <v>30</v>
      </c>
    </row>
    <row r="1123" spans="1:14">
      <c r="A1123" t="s">
        <v>911</v>
      </c>
      <c r="B1123" t="s">
        <v>856</v>
      </c>
      <c r="C1123">
        <v>2004</v>
      </c>
      <c r="D1123" t="s">
        <v>139</v>
      </c>
      <c r="E1123" t="s">
        <v>48</v>
      </c>
      <c r="F1123" t="s">
        <v>64</v>
      </c>
      <c r="G1123">
        <v>3</v>
      </c>
      <c r="H1123">
        <v>7</v>
      </c>
      <c r="I1123" s="1">
        <f t="shared" si="17"/>
        <v>0.428571428571429</v>
      </c>
      <c r="J1123" t="s">
        <v>80</v>
      </c>
      <c r="K1123" t="s">
        <v>113</v>
      </c>
      <c r="L1123" t="s">
        <v>139</v>
      </c>
      <c r="M1123" t="s">
        <v>29</v>
      </c>
      <c r="N1123" t="s">
        <v>30</v>
      </c>
    </row>
    <row r="1124" spans="1:14">
      <c r="A1124" t="s">
        <v>912</v>
      </c>
      <c r="B1124" t="s">
        <v>867</v>
      </c>
      <c r="C1124">
        <v>2012</v>
      </c>
      <c r="D1124" t="s">
        <v>325</v>
      </c>
      <c r="E1124" t="s">
        <v>77</v>
      </c>
      <c r="F1124" t="s">
        <v>64</v>
      </c>
      <c r="G1124">
        <v>0</v>
      </c>
      <c r="H1124">
        <v>3</v>
      </c>
      <c r="I1124" s="1">
        <f t="shared" si="17"/>
        <v>0</v>
      </c>
      <c r="J1124" t="s">
        <v>80</v>
      </c>
      <c r="K1124" t="s">
        <v>113</v>
      </c>
      <c r="L1124" t="s">
        <v>325</v>
      </c>
      <c r="M1124" t="s">
        <v>29</v>
      </c>
      <c r="N1124" t="s">
        <v>30</v>
      </c>
    </row>
    <row r="1125" spans="1:14">
      <c r="A1125" t="s">
        <v>912</v>
      </c>
      <c r="B1125" t="s">
        <v>867</v>
      </c>
      <c r="C1125">
        <v>2012</v>
      </c>
      <c r="D1125" t="s">
        <v>112</v>
      </c>
      <c r="E1125" t="s">
        <v>77</v>
      </c>
      <c r="F1125" t="s">
        <v>64</v>
      </c>
      <c r="G1125">
        <v>3</v>
      </c>
      <c r="H1125">
        <v>3</v>
      </c>
      <c r="I1125" s="1">
        <f t="shared" si="17"/>
        <v>1</v>
      </c>
      <c r="J1125" t="s">
        <v>80</v>
      </c>
      <c r="K1125" t="s">
        <v>113</v>
      </c>
      <c r="L1125" t="s">
        <v>112</v>
      </c>
      <c r="M1125" t="s">
        <v>29</v>
      </c>
      <c r="N1125" t="s">
        <v>30</v>
      </c>
    </row>
    <row r="1126" spans="1:14">
      <c r="A1126" t="s">
        <v>912</v>
      </c>
      <c r="B1126" t="s">
        <v>867</v>
      </c>
      <c r="C1126">
        <v>2012</v>
      </c>
      <c r="D1126" t="s">
        <v>479</v>
      </c>
      <c r="E1126" t="s">
        <v>77</v>
      </c>
      <c r="F1126" t="s">
        <v>64</v>
      </c>
      <c r="G1126">
        <v>0</v>
      </c>
      <c r="H1126">
        <v>3</v>
      </c>
      <c r="I1126" s="1">
        <f t="shared" si="17"/>
        <v>0</v>
      </c>
      <c r="J1126" t="s">
        <v>278</v>
      </c>
      <c r="K1126" t="s">
        <v>279</v>
      </c>
      <c r="L1126" t="s">
        <v>479</v>
      </c>
      <c r="M1126" t="s">
        <v>29</v>
      </c>
      <c r="N1126" t="s">
        <v>30</v>
      </c>
    </row>
    <row r="1127" spans="1:14">
      <c r="A1127" t="s">
        <v>913</v>
      </c>
      <c r="B1127" t="s">
        <v>914</v>
      </c>
      <c r="C1127">
        <v>2016</v>
      </c>
      <c r="D1127" t="s">
        <v>83</v>
      </c>
      <c r="E1127" t="s">
        <v>77</v>
      </c>
      <c r="F1127" t="s">
        <v>64</v>
      </c>
      <c r="G1127">
        <v>38</v>
      </c>
      <c r="H1127">
        <v>2100</v>
      </c>
      <c r="I1127" s="1">
        <f t="shared" si="17"/>
        <v>0.0180952380952381</v>
      </c>
      <c r="J1127" t="s">
        <v>55</v>
      </c>
      <c r="K1127" t="s">
        <v>56</v>
      </c>
      <c r="L1127" t="s">
        <v>83</v>
      </c>
      <c r="M1127" t="s">
        <v>29</v>
      </c>
      <c r="N1127" t="s">
        <v>30</v>
      </c>
    </row>
    <row r="1128" spans="1:14">
      <c r="A1128" t="s">
        <v>915</v>
      </c>
      <c r="B1128" t="s">
        <v>856</v>
      </c>
      <c r="C1128">
        <v>2020</v>
      </c>
      <c r="D1128" t="s">
        <v>249</v>
      </c>
      <c r="E1128" t="s">
        <v>77</v>
      </c>
      <c r="F1128" t="s">
        <v>64</v>
      </c>
      <c r="G1128">
        <v>0</v>
      </c>
      <c r="H1128">
        <v>1</v>
      </c>
      <c r="I1128" s="1">
        <f t="shared" si="17"/>
        <v>0</v>
      </c>
      <c r="J1128" t="s">
        <v>250</v>
      </c>
      <c r="K1128" t="s">
        <v>251</v>
      </c>
      <c r="L1128" t="s">
        <v>249</v>
      </c>
      <c r="M1128" t="s">
        <v>29</v>
      </c>
      <c r="N1128" t="s">
        <v>30</v>
      </c>
    </row>
    <row r="1129" spans="1:14">
      <c r="A1129" t="s">
        <v>915</v>
      </c>
      <c r="B1129" t="s">
        <v>856</v>
      </c>
      <c r="C1129">
        <v>2020</v>
      </c>
      <c r="D1129" t="s">
        <v>83</v>
      </c>
      <c r="E1129" t="s">
        <v>77</v>
      </c>
      <c r="F1129" t="s">
        <v>64</v>
      </c>
      <c r="G1129">
        <v>0</v>
      </c>
      <c r="H1129">
        <v>1</v>
      </c>
      <c r="I1129" s="1">
        <f t="shared" si="17"/>
        <v>0</v>
      </c>
      <c r="J1129" t="s">
        <v>55</v>
      </c>
      <c r="K1129" t="s">
        <v>56</v>
      </c>
      <c r="L1129" t="s">
        <v>83</v>
      </c>
      <c r="M1129" t="s">
        <v>29</v>
      </c>
      <c r="N1129" t="s">
        <v>30</v>
      </c>
    </row>
    <row r="1130" spans="1:14">
      <c r="A1130" t="s">
        <v>915</v>
      </c>
      <c r="B1130" t="s">
        <v>856</v>
      </c>
      <c r="C1130">
        <v>2020</v>
      </c>
      <c r="D1130" t="s">
        <v>93</v>
      </c>
      <c r="E1130" t="s">
        <v>77</v>
      </c>
      <c r="F1130" t="s">
        <v>64</v>
      </c>
      <c r="G1130">
        <v>1</v>
      </c>
      <c r="H1130">
        <v>1</v>
      </c>
      <c r="I1130" s="1">
        <f t="shared" si="17"/>
        <v>1</v>
      </c>
      <c r="J1130" t="s">
        <v>94</v>
      </c>
      <c r="K1130" t="s">
        <v>95</v>
      </c>
      <c r="L1130" t="s">
        <v>93</v>
      </c>
      <c r="M1130" t="s">
        <v>29</v>
      </c>
      <c r="N1130" t="s">
        <v>30</v>
      </c>
    </row>
    <row r="1131" spans="1:14">
      <c r="A1131" t="s">
        <v>915</v>
      </c>
      <c r="B1131" t="s">
        <v>856</v>
      </c>
      <c r="C1131">
        <v>2020</v>
      </c>
      <c r="D1131" t="s">
        <v>106</v>
      </c>
      <c r="E1131" t="s">
        <v>77</v>
      </c>
      <c r="F1131" t="s">
        <v>64</v>
      </c>
      <c r="G1131">
        <v>0</v>
      </c>
      <c r="H1131">
        <v>1</v>
      </c>
      <c r="I1131" s="1">
        <f t="shared" si="17"/>
        <v>0</v>
      </c>
      <c r="J1131" t="s">
        <v>35</v>
      </c>
      <c r="K1131" t="s">
        <v>107</v>
      </c>
      <c r="L1131" t="s">
        <v>106</v>
      </c>
      <c r="M1131" t="s">
        <v>29</v>
      </c>
      <c r="N1131" t="s">
        <v>30</v>
      </c>
    </row>
    <row r="1132" spans="1:14">
      <c r="A1132" t="s">
        <v>915</v>
      </c>
      <c r="B1132" t="s">
        <v>856</v>
      </c>
      <c r="C1132">
        <v>2020</v>
      </c>
      <c r="D1132" t="s">
        <v>79</v>
      </c>
      <c r="E1132" t="s">
        <v>77</v>
      </c>
      <c r="F1132" t="s">
        <v>64</v>
      </c>
      <c r="G1132">
        <v>0</v>
      </c>
      <c r="H1132">
        <v>1</v>
      </c>
      <c r="I1132" s="1">
        <f t="shared" si="17"/>
        <v>0</v>
      </c>
      <c r="J1132" t="s">
        <v>80</v>
      </c>
      <c r="K1132" t="s">
        <v>81</v>
      </c>
      <c r="L1132" t="s">
        <v>79</v>
      </c>
      <c r="M1132" t="s">
        <v>29</v>
      </c>
      <c r="N1132" t="s">
        <v>30</v>
      </c>
    </row>
    <row r="1133" spans="1:14">
      <c r="A1133" t="s">
        <v>916</v>
      </c>
      <c r="B1133" t="s">
        <v>917</v>
      </c>
      <c r="C1133">
        <v>2010</v>
      </c>
      <c r="D1133" t="s">
        <v>79</v>
      </c>
      <c r="E1133" t="s">
        <v>77</v>
      </c>
      <c r="F1133" t="s">
        <v>64</v>
      </c>
      <c r="G1133">
        <v>8</v>
      </c>
      <c r="H1133">
        <v>9</v>
      </c>
      <c r="I1133" s="1">
        <f t="shared" si="17"/>
        <v>0.888888888888889</v>
      </c>
      <c r="J1133" t="s">
        <v>80</v>
      </c>
      <c r="K1133" t="s">
        <v>81</v>
      </c>
      <c r="L1133" t="s">
        <v>79</v>
      </c>
      <c r="M1133" t="s">
        <v>29</v>
      </c>
      <c r="N1133" t="s">
        <v>30</v>
      </c>
    </row>
    <row r="1134" spans="1:14">
      <c r="A1134" t="s">
        <v>916</v>
      </c>
      <c r="B1134" t="s">
        <v>917</v>
      </c>
      <c r="C1134">
        <v>2010</v>
      </c>
      <c r="D1134" t="s">
        <v>83</v>
      </c>
      <c r="E1134" t="s">
        <v>77</v>
      </c>
      <c r="F1134" t="s">
        <v>64</v>
      </c>
      <c r="G1134">
        <v>4</v>
      </c>
      <c r="H1134">
        <v>9</v>
      </c>
      <c r="I1134" s="1">
        <f t="shared" si="17"/>
        <v>0.444444444444444</v>
      </c>
      <c r="J1134" t="s">
        <v>55</v>
      </c>
      <c r="K1134" t="s">
        <v>56</v>
      </c>
      <c r="L1134" t="s">
        <v>83</v>
      </c>
      <c r="M1134" t="s">
        <v>29</v>
      </c>
      <c r="N1134" t="s">
        <v>30</v>
      </c>
    </row>
    <row r="1135" spans="1:14">
      <c r="A1135" t="s">
        <v>918</v>
      </c>
      <c r="B1135" t="s">
        <v>919</v>
      </c>
      <c r="C1135">
        <v>2007</v>
      </c>
      <c r="D1135" t="s">
        <v>325</v>
      </c>
      <c r="E1135" t="s">
        <v>77</v>
      </c>
      <c r="F1135" t="s">
        <v>101</v>
      </c>
      <c r="G1135">
        <v>1</v>
      </c>
      <c r="H1135">
        <v>5</v>
      </c>
      <c r="I1135" s="1">
        <f t="shared" si="17"/>
        <v>0.2</v>
      </c>
      <c r="J1135" t="s">
        <v>80</v>
      </c>
      <c r="K1135" t="s">
        <v>113</v>
      </c>
      <c r="L1135" t="s">
        <v>325</v>
      </c>
      <c r="M1135" t="s">
        <v>29</v>
      </c>
      <c r="N1135" t="s">
        <v>30</v>
      </c>
    </row>
    <row r="1136" spans="1:14">
      <c r="A1136" t="s">
        <v>918</v>
      </c>
      <c r="B1136" t="s">
        <v>919</v>
      </c>
      <c r="C1136">
        <v>2007</v>
      </c>
      <c r="D1136" t="s">
        <v>112</v>
      </c>
      <c r="E1136" t="s">
        <v>77</v>
      </c>
      <c r="F1136" t="s">
        <v>101</v>
      </c>
      <c r="G1136">
        <v>5</v>
      </c>
      <c r="H1136">
        <v>5</v>
      </c>
      <c r="I1136" s="1">
        <f t="shared" si="17"/>
        <v>1</v>
      </c>
      <c r="J1136" t="s">
        <v>80</v>
      </c>
      <c r="K1136" t="s">
        <v>113</v>
      </c>
      <c r="L1136" t="s">
        <v>112</v>
      </c>
      <c r="M1136" t="s">
        <v>29</v>
      </c>
      <c r="N1136" t="s">
        <v>30</v>
      </c>
    </row>
    <row r="1137" spans="1:14">
      <c r="A1137" t="s">
        <v>920</v>
      </c>
      <c r="B1137" t="s">
        <v>894</v>
      </c>
      <c r="C1137">
        <v>2011</v>
      </c>
      <c r="D1137" t="s">
        <v>82</v>
      </c>
      <c r="E1137" t="s">
        <v>77</v>
      </c>
      <c r="F1137" t="s">
        <v>64</v>
      </c>
      <c r="G1137">
        <v>1</v>
      </c>
      <c r="H1137">
        <v>1</v>
      </c>
      <c r="I1137" s="1">
        <f t="shared" si="17"/>
        <v>1</v>
      </c>
      <c r="J1137" t="s">
        <v>38</v>
      </c>
      <c r="K1137" t="s">
        <v>39</v>
      </c>
      <c r="L1137" t="s">
        <v>82</v>
      </c>
      <c r="M1137" t="s">
        <v>29</v>
      </c>
      <c r="N1137" t="s">
        <v>30</v>
      </c>
    </row>
    <row r="1138" spans="1:14">
      <c r="A1138" t="s">
        <v>920</v>
      </c>
      <c r="B1138" t="s">
        <v>894</v>
      </c>
      <c r="C1138">
        <v>2011</v>
      </c>
      <c r="D1138" t="s">
        <v>15</v>
      </c>
      <c r="E1138" t="s">
        <v>77</v>
      </c>
      <c r="F1138" t="s">
        <v>64</v>
      </c>
      <c r="G1138">
        <v>0</v>
      </c>
      <c r="H1138">
        <v>1</v>
      </c>
      <c r="I1138" s="1">
        <f t="shared" si="17"/>
        <v>0</v>
      </c>
      <c r="J1138" t="s">
        <v>18</v>
      </c>
      <c r="K1138" t="s">
        <v>19</v>
      </c>
      <c r="L1138" t="s">
        <v>15</v>
      </c>
      <c r="M1138" t="s">
        <v>29</v>
      </c>
      <c r="N1138" t="s">
        <v>30</v>
      </c>
    </row>
    <row r="1139" spans="1:14">
      <c r="A1139" t="s">
        <v>920</v>
      </c>
      <c r="B1139" t="s">
        <v>894</v>
      </c>
      <c r="C1139">
        <v>2011</v>
      </c>
      <c r="D1139" t="s">
        <v>79</v>
      </c>
      <c r="E1139" t="s">
        <v>77</v>
      </c>
      <c r="F1139" t="s">
        <v>64</v>
      </c>
      <c r="G1139">
        <v>0</v>
      </c>
      <c r="H1139">
        <v>1</v>
      </c>
      <c r="I1139" s="1">
        <f t="shared" si="17"/>
        <v>0</v>
      </c>
      <c r="J1139" t="s">
        <v>80</v>
      </c>
      <c r="K1139" t="s">
        <v>81</v>
      </c>
      <c r="L1139" t="s">
        <v>79</v>
      </c>
      <c r="M1139" t="s">
        <v>29</v>
      </c>
      <c r="N1139" t="s">
        <v>30</v>
      </c>
    </row>
    <row r="1140" spans="1:14">
      <c r="A1140" t="s">
        <v>920</v>
      </c>
      <c r="B1140" t="s">
        <v>894</v>
      </c>
      <c r="C1140">
        <v>2011</v>
      </c>
      <c r="D1140" t="s">
        <v>205</v>
      </c>
      <c r="E1140" t="s">
        <v>77</v>
      </c>
      <c r="F1140" t="s">
        <v>64</v>
      </c>
      <c r="G1140">
        <v>1</v>
      </c>
      <c r="H1140">
        <v>1</v>
      </c>
      <c r="I1140" s="1">
        <f t="shared" si="17"/>
        <v>1</v>
      </c>
      <c r="J1140" t="s">
        <v>94</v>
      </c>
      <c r="K1140" t="s">
        <v>95</v>
      </c>
      <c r="L1140" t="s">
        <v>205</v>
      </c>
      <c r="M1140" t="s">
        <v>29</v>
      </c>
      <c r="N1140" t="s">
        <v>30</v>
      </c>
    </row>
    <row r="1141" spans="1:14">
      <c r="A1141" t="s">
        <v>920</v>
      </c>
      <c r="B1141" t="s">
        <v>894</v>
      </c>
      <c r="C1141">
        <v>2011</v>
      </c>
      <c r="D1141" t="s">
        <v>93</v>
      </c>
      <c r="E1141" t="s">
        <v>77</v>
      </c>
      <c r="F1141" t="s">
        <v>64</v>
      </c>
      <c r="G1141">
        <v>1</v>
      </c>
      <c r="H1141">
        <v>1</v>
      </c>
      <c r="I1141" s="1">
        <f t="shared" si="17"/>
        <v>1</v>
      </c>
      <c r="J1141" t="s">
        <v>94</v>
      </c>
      <c r="K1141" t="s">
        <v>95</v>
      </c>
      <c r="L1141" t="s">
        <v>93</v>
      </c>
      <c r="M1141" t="s">
        <v>29</v>
      </c>
      <c r="N1141" t="s">
        <v>30</v>
      </c>
    </row>
    <row r="1142" spans="1:14">
      <c r="A1142" t="s">
        <v>920</v>
      </c>
      <c r="B1142" t="s">
        <v>894</v>
      </c>
      <c r="C1142">
        <v>2011</v>
      </c>
      <c r="D1142" t="s">
        <v>83</v>
      </c>
      <c r="E1142" t="s">
        <v>77</v>
      </c>
      <c r="F1142" t="s">
        <v>64</v>
      </c>
      <c r="G1142">
        <v>0</v>
      </c>
      <c r="H1142">
        <v>1</v>
      </c>
      <c r="I1142" s="1">
        <f t="shared" si="17"/>
        <v>0</v>
      </c>
      <c r="J1142" t="s">
        <v>55</v>
      </c>
      <c r="K1142" t="s">
        <v>56</v>
      </c>
      <c r="L1142" t="s">
        <v>83</v>
      </c>
      <c r="M1142" t="s">
        <v>29</v>
      </c>
      <c r="N1142" t="s">
        <v>30</v>
      </c>
    </row>
    <row r="1143" spans="1:14">
      <c r="A1143" t="s">
        <v>921</v>
      </c>
      <c r="B1143" t="s">
        <v>922</v>
      </c>
      <c r="C1143">
        <v>2021</v>
      </c>
      <c r="D1143" t="s">
        <v>249</v>
      </c>
      <c r="E1143" t="s">
        <v>77</v>
      </c>
      <c r="F1143" t="s">
        <v>64</v>
      </c>
      <c r="G1143">
        <v>0</v>
      </c>
      <c r="H1143">
        <v>2</v>
      </c>
      <c r="I1143" s="1">
        <f t="shared" si="17"/>
        <v>0</v>
      </c>
      <c r="J1143" t="s">
        <v>250</v>
      </c>
      <c r="K1143" t="s">
        <v>251</v>
      </c>
      <c r="L1143" t="s">
        <v>249</v>
      </c>
      <c r="M1143" t="s">
        <v>29</v>
      </c>
      <c r="N1143" t="s">
        <v>30</v>
      </c>
    </row>
    <row r="1144" spans="1:14">
      <c r="A1144" t="s">
        <v>921</v>
      </c>
      <c r="B1144" t="s">
        <v>922</v>
      </c>
      <c r="C1144">
        <v>2021</v>
      </c>
      <c r="D1144" t="s">
        <v>83</v>
      </c>
      <c r="E1144" t="s">
        <v>77</v>
      </c>
      <c r="F1144" t="s">
        <v>64</v>
      </c>
      <c r="G1144">
        <v>2</v>
      </c>
      <c r="H1144">
        <v>2</v>
      </c>
      <c r="I1144" s="1">
        <f t="shared" si="17"/>
        <v>1</v>
      </c>
      <c r="J1144" t="s">
        <v>55</v>
      </c>
      <c r="K1144" t="s">
        <v>56</v>
      </c>
      <c r="L1144" t="s">
        <v>83</v>
      </c>
      <c r="M1144" t="s">
        <v>29</v>
      </c>
      <c r="N1144" t="s">
        <v>30</v>
      </c>
    </row>
    <row r="1145" spans="1:14">
      <c r="A1145" t="s">
        <v>921</v>
      </c>
      <c r="B1145" t="s">
        <v>922</v>
      </c>
      <c r="C1145">
        <v>2021</v>
      </c>
      <c r="D1145" t="s">
        <v>79</v>
      </c>
      <c r="E1145" t="s">
        <v>77</v>
      </c>
      <c r="F1145" t="s">
        <v>64</v>
      </c>
      <c r="G1145">
        <v>0</v>
      </c>
      <c r="H1145">
        <v>2</v>
      </c>
      <c r="I1145" s="1">
        <f t="shared" si="17"/>
        <v>0</v>
      </c>
      <c r="J1145" t="s">
        <v>80</v>
      </c>
      <c r="K1145" t="s">
        <v>81</v>
      </c>
      <c r="L1145" t="s">
        <v>79</v>
      </c>
      <c r="M1145" t="s">
        <v>29</v>
      </c>
      <c r="N1145" t="s">
        <v>30</v>
      </c>
    </row>
    <row r="1146" spans="1:14">
      <c r="A1146" t="s">
        <v>923</v>
      </c>
      <c r="B1146" t="s">
        <v>860</v>
      </c>
      <c r="C1146">
        <v>2008</v>
      </c>
      <c r="D1146" t="s">
        <v>79</v>
      </c>
      <c r="E1146" t="s">
        <v>77</v>
      </c>
      <c r="F1146" t="s">
        <v>64</v>
      </c>
      <c r="G1146">
        <v>4</v>
      </c>
      <c r="H1146">
        <v>8</v>
      </c>
      <c r="I1146" s="1">
        <f t="shared" si="17"/>
        <v>0.5</v>
      </c>
      <c r="J1146" t="s">
        <v>80</v>
      </c>
      <c r="K1146" t="s">
        <v>81</v>
      </c>
      <c r="L1146" t="s">
        <v>79</v>
      </c>
      <c r="M1146" t="s">
        <v>29</v>
      </c>
      <c r="N1146" t="s">
        <v>30</v>
      </c>
    </row>
    <row r="1147" spans="1:14">
      <c r="A1147" t="s">
        <v>923</v>
      </c>
      <c r="B1147" t="s">
        <v>860</v>
      </c>
      <c r="C1147">
        <v>2008</v>
      </c>
      <c r="D1147" t="s">
        <v>93</v>
      </c>
      <c r="E1147" t="s">
        <v>77</v>
      </c>
      <c r="F1147" t="s">
        <v>64</v>
      </c>
      <c r="G1147">
        <v>0</v>
      </c>
      <c r="H1147">
        <v>8</v>
      </c>
      <c r="I1147" s="1">
        <f t="shared" si="17"/>
        <v>0</v>
      </c>
      <c r="J1147" t="s">
        <v>94</v>
      </c>
      <c r="K1147" t="s">
        <v>95</v>
      </c>
      <c r="L1147" t="s">
        <v>93</v>
      </c>
      <c r="M1147" t="s">
        <v>29</v>
      </c>
      <c r="N1147" t="s">
        <v>30</v>
      </c>
    </row>
    <row r="1148" spans="1:14">
      <c r="A1148" t="s">
        <v>924</v>
      </c>
      <c r="B1148" t="s">
        <v>917</v>
      </c>
      <c r="C1148">
        <v>2022</v>
      </c>
      <c r="D1148" t="s">
        <v>741</v>
      </c>
      <c r="E1148" t="s">
        <v>77</v>
      </c>
      <c r="F1148" t="s">
        <v>64</v>
      </c>
      <c r="G1148">
        <v>3</v>
      </c>
      <c r="H1148">
        <v>25</v>
      </c>
      <c r="I1148" s="1">
        <f t="shared" si="17"/>
        <v>0.12</v>
      </c>
      <c r="J1148" t="s">
        <v>94</v>
      </c>
      <c r="K1148" t="s">
        <v>95</v>
      </c>
      <c r="L1148" t="s">
        <v>741</v>
      </c>
      <c r="M1148" t="s">
        <v>29</v>
      </c>
      <c r="N1148" t="s">
        <v>30</v>
      </c>
    </row>
    <row r="1149" spans="1:14">
      <c r="A1149" t="s">
        <v>925</v>
      </c>
      <c r="B1149" t="s">
        <v>926</v>
      </c>
      <c r="C1149">
        <v>2015</v>
      </c>
      <c r="D1149" t="s">
        <v>83</v>
      </c>
      <c r="E1149" t="s">
        <v>77</v>
      </c>
      <c r="F1149" t="s">
        <v>64</v>
      </c>
      <c r="G1149">
        <v>2</v>
      </c>
      <c r="H1149">
        <v>2</v>
      </c>
      <c r="I1149" s="1">
        <f t="shared" si="17"/>
        <v>1</v>
      </c>
      <c r="J1149" t="s">
        <v>55</v>
      </c>
      <c r="K1149" t="s">
        <v>56</v>
      </c>
      <c r="L1149" t="s">
        <v>83</v>
      </c>
      <c r="M1149" t="s">
        <v>29</v>
      </c>
      <c r="N1149" t="s">
        <v>30</v>
      </c>
    </row>
    <row r="1150" spans="1:14">
      <c r="A1150" t="s">
        <v>927</v>
      </c>
      <c r="B1150" t="s">
        <v>867</v>
      </c>
      <c r="C1150">
        <v>2000</v>
      </c>
      <c r="D1150" t="s">
        <v>22</v>
      </c>
      <c r="E1150" t="s">
        <v>48</v>
      </c>
      <c r="F1150" t="s">
        <v>101</v>
      </c>
      <c r="G1150">
        <v>15</v>
      </c>
      <c r="H1150">
        <v>38</v>
      </c>
      <c r="I1150" s="1">
        <f t="shared" si="17"/>
        <v>0.394736842105263</v>
      </c>
      <c r="J1150" t="s">
        <v>23</v>
      </c>
      <c r="K1150" t="s">
        <v>24</v>
      </c>
      <c r="L1150" t="s">
        <v>22</v>
      </c>
      <c r="M1150" t="s">
        <v>29</v>
      </c>
      <c r="N1150" t="s">
        <v>30</v>
      </c>
    </row>
    <row r="1151" spans="1:14">
      <c r="A1151" t="s">
        <v>928</v>
      </c>
      <c r="B1151" t="s">
        <v>929</v>
      </c>
      <c r="C1151">
        <v>2021</v>
      </c>
      <c r="D1151" t="s">
        <v>249</v>
      </c>
      <c r="E1151" t="s">
        <v>77</v>
      </c>
      <c r="F1151" t="s">
        <v>64</v>
      </c>
      <c r="G1151">
        <v>1</v>
      </c>
      <c r="H1151">
        <v>1</v>
      </c>
      <c r="I1151" s="1">
        <f t="shared" si="17"/>
        <v>1</v>
      </c>
      <c r="J1151" t="s">
        <v>250</v>
      </c>
      <c r="K1151" t="s">
        <v>251</v>
      </c>
      <c r="L1151" t="s">
        <v>249</v>
      </c>
      <c r="M1151" t="s">
        <v>78</v>
      </c>
      <c r="N1151" t="s">
        <v>50</v>
      </c>
    </row>
    <row r="1152" spans="1:14">
      <c r="A1152" t="s">
        <v>930</v>
      </c>
      <c r="B1152" t="s">
        <v>931</v>
      </c>
      <c r="C1152">
        <v>2019</v>
      </c>
      <c r="D1152" t="s">
        <v>83</v>
      </c>
      <c r="E1152" t="s">
        <v>77</v>
      </c>
      <c r="F1152" t="s">
        <v>64</v>
      </c>
      <c r="G1152">
        <v>4</v>
      </c>
      <c r="H1152">
        <v>4</v>
      </c>
      <c r="I1152" s="1">
        <f t="shared" si="17"/>
        <v>1</v>
      </c>
      <c r="J1152" t="s">
        <v>55</v>
      </c>
      <c r="K1152" t="s">
        <v>56</v>
      </c>
      <c r="L1152" t="s">
        <v>83</v>
      </c>
      <c r="M1152" t="s">
        <v>29</v>
      </c>
      <c r="N1152" t="s">
        <v>30</v>
      </c>
    </row>
    <row r="1153" spans="1:14">
      <c r="A1153" t="s">
        <v>930</v>
      </c>
      <c r="B1153" t="s">
        <v>931</v>
      </c>
      <c r="C1153">
        <v>2019</v>
      </c>
      <c r="D1153" t="s">
        <v>79</v>
      </c>
      <c r="E1153" t="s">
        <v>77</v>
      </c>
      <c r="F1153" t="s">
        <v>64</v>
      </c>
      <c r="G1153">
        <v>0</v>
      </c>
      <c r="H1153">
        <v>4</v>
      </c>
      <c r="I1153" s="1">
        <f t="shared" si="17"/>
        <v>0</v>
      </c>
      <c r="J1153" t="s">
        <v>80</v>
      </c>
      <c r="K1153" t="s">
        <v>81</v>
      </c>
      <c r="L1153" t="s">
        <v>79</v>
      </c>
      <c r="M1153" t="s">
        <v>29</v>
      </c>
      <c r="N1153" t="s">
        <v>30</v>
      </c>
    </row>
    <row r="1154" spans="1:14">
      <c r="A1154" t="s">
        <v>932</v>
      </c>
      <c r="B1154" t="s">
        <v>860</v>
      </c>
      <c r="C1154">
        <v>2008</v>
      </c>
      <c r="D1154" t="s">
        <v>22</v>
      </c>
      <c r="E1154" t="s">
        <v>48</v>
      </c>
      <c r="F1154" t="s">
        <v>64</v>
      </c>
      <c r="G1154">
        <v>1</v>
      </c>
      <c r="H1154">
        <v>1</v>
      </c>
      <c r="I1154" s="1">
        <f t="shared" si="17"/>
        <v>1</v>
      </c>
      <c r="J1154" t="s">
        <v>23</v>
      </c>
      <c r="K1154" t="s">
        <v>24</v>
      </c>
      <c r="L1154" t="s">
        <v>22</v>
      </c>
      <c r="M1154" t="s">
        <v>29</v>
      </c>
      <c r="N1154" t="s">
        <v>30</v>
      </c>
    </row>
    <row r="1155" spans="1:14">
      <c r="A1155" t="s">
        <v>933</v>
      </c>
      <c r="B1155" t="s">
        <v>234</v>
      </c>
      <c r="C1155">
        <v>2022</v>
      </c>
      <c r="D1155" t="s">
        <v>15</v>
      </c>
      <c r="E1155" t="s">
        <v>48</v>
      </c>
      <c r="F1155" t="s">
        <v>64</v>
      </c>
      <c r="G1155">
        <v>0</v>
      </c>
      <c r="H1155">
        <v>1</v>
      </c>
      <c r="I1155" s="1">
        <f t="shared" ref="I1155:I1169" si="18">G1155/H1155</f>
        <v>0</v>
      </c>
      <c r="J1155" t="s">
        <v>18</v>
      </c>
      <c r="K1155" t="s">
        <v>19</v>
      </c>
      <c r="L1155" t="s">
        <v>15</v>
      </c>
      <c r="M1155" t="s">
        <v>29</v>
      </c>
      <c r="N1155" t="s">
        <v>30</v>
      </c>
    </row>
    <row r="1156" spans="1:14">
      <c r="A1156" t="s">
        <v>933</v>
      </c>
      <c r="B1156" t="s">
        <v>234</v>
      </c>
      <c r="C1156">
        <v>2022</v>
      </c>
      <c r="D1156" t="s">
        <v>394</v>
      </c>
      <c r="E1156" t="s">
        <v>48</v>
      </c>
      <c r="F1156" t="s">
        <v>64</v>
      </c>
      <c r="G1156">
        <v>0</v>
      </c>
      <c r="H1156">
        <v>1</v>
      </c>
      <c r="I1156" s="1">
        <f t="shared" si="18"/>
        <v>0</v>
      </c>
      <c r="J1156" t="s">
        <v>38</v>
      </c>
      <c r="K1156" t="s">
        <v>39</v>
      </c>
      <c r="L1156" t="s">
        <v>394</v>
      </c>
      <c r="M1156" t="s">
        <v>29</v>
      </c>
      <c r="N1156" t="s">
        <v>30</v>
      </c>
    </row>
    <row r="1157" spans="1:14">
      <c r="A1157" t="s">
        <v>933</v>
      </c>
      <c r="B1157" t="s">
        <v>234</v>
      </c>
      <c r="C1157">
        <v>2022</v>
      </c>
      <c r="D1157" t="s">
        <v>22</v>
      </c>
      <c r="E1157" t="s">
        <v>48</v>
      </c>
      <c r="F1157" t="s">
        <v>64</v>
      </c>
      <c r="G1157">
        <v>0</v>
      </c>
      <c r="H1157">
        <v>1</v>
      </c>
      <c r="I1157" s="1">
        <f t="shared" si="18"/>
        <v>0</v>
      </c>
      <c r="J1157" t="s">
        <v>23</v>
      </c>
      <c r="K1157" t="s">
        <v>24</v>
      </c>
      <c r="L1157" t="s">
        <v>22</v>
      </c>
      <c r="M1157" t="s">
        <v>29</v>
      </c>
      <c r="N1157" t="s">
        <v>30</v>
      </c>
    </row>
    <row r="1158" spans="1:14">
      <c r="A1158" t="s">
        <v>934</v>
      </c>
      <c r="B1158" t="s">
        <v>852</v>
      </c>
      <c r="C1158">
        <v>2005</v>
      </c>
      <c r="D1158" t="s">
        <v>139</v>
      </c>
      <c r="E1158" t="s">
        <v>27</v>
      </c>
      <c r="F1158" t="s">
        <v>64</v>
      </c>
      <c r="G1158">
        <v>26</v>
      </c>
      <c r="H1158">
        <v>123</v>
      </c>
      <c r="I1158" s="1">
        <f t="shared" si="18"/>
        <v>0.211382113821138</v>
      </c>
      <c r="J1158" t="s">
        <v>80</v>
      </c>
      <c r="K1158" t="s">
        <v>113</v>
      </c>
      <c r="L1158" t="s">
        <v>139</v>
      </c>
      <c r="M1158" t="s">
        <v>29</v>
      </c>
      <c r="N1158" t="s">
        <v>30</v>
      </c>
    </row>
    <row r="1159" spans="1:14">
      <c r="A1159" t="s">
        <v>934</v>
      </c>
      <c r="B1159" t="s">
        <v>852</v>
      </c>
      <c r="C1159">
        <v>2005</v>
      </c>
      <c r="D1159" t="s">
        <v>139</v>
      </c>
      <c r="E1159" t="s">
        <v>48</v>
      </c>
      <c r="F1159" t="s">
        <v>64</v>
      </c>
      <c r="G1159">
        <v>3</v>
      </c>
      <c r="H1159">
        <v>9</v>
      </c>
      <c r="I1159" s="1">
        <f t="shared" si="18"/>
        <v>0.333333333333333</v>
      </c>
      <c r="J1159" t="s">
        <v>80</v>
      </c>
      <c r="K1159" t="s">
        <v>113</v>
      </c>
      <c r="L1159" t="s">
        <v>139</v>
      </c>
      <c r="M1159" t="s">
        <v>29</v>
      </c>
      <c r="N1159" t="s">
        <v>30</v>
      </c>
    </row>
    <row r="1160" spans="1:14">
      <c r="A1160" t="s">
        <v>935</v>
      </c>
      <c r="B1160" t="s">
        <v>852</v>
      </c>
      <c r="C1160">
        <v>2021</v>
      </c>
      <c r="D1160" t="s">
        <v>249</v>
      </c>
      <c r="E1160" t="s">
        <v>77</v>
      </c>
      <c r="F1160" t="s">
        <v>64</v>
      </c>
      <c r="G1160">
        <v>2</v>
      </c>
      <c r="H1160">
        <v>2</v>
      </c>
      <c r="I1160" s="1">
        <f t="shared" si="18"/>
        <v>1</v>
      </c>
      <c r="J1160" t="s">
        <v>250</v>
      </c>
      <c r="K1160" t="s">
        <v>251</v>
      </c>
      <c r="L1160" t="s">
        <v>249</v>
      </c>
      <c r="M1160" t="s">
        <v>29</v>
      </c>
      <c r="N1160" t="s">
        <v>30</v>
      </c>
    </row>
    <row r="1161" spans="1:14">
      <c r="A1161" t="s">
        <v>936</v>
      </c>
      <c r="B1161" t="s">
        <v>236</v>
      </c>
      <c r="C1161">
        <v>2010</v>
      </c>
      <c r="D1161" t="s">
        <v>22</v>
      </c>
      <c r="E1161" t="s">
        <v>48</v>
      </c>
      <c r="F1161" t="s">
        <v>101</v>
      </c>
      <c r="G1161">
        <v>6</v>
      </c>
      <c r="H1161">
        <v>6</v>
      </c>
      <c r="I1161" s="1">
        <f t="shared" si="18"/>
        <v>1</v>
      </c>
      <c r="J1161" t="s">
        <v>23</v>
      </c>
      <c r="K1161" t="s">
        <v>24</v>
      </c>
      <c r="L1161" t="s">
        <v>22</v>
      </c>
      <c r="M1161" t="s">
        <v>29</v>
      </c>
      <c r="N1161" t="s">
        <v>30</v>
      </c>
    </row>
    <row r="1162" spans="1:14">
      <c r="A1162" t="s">
        <v>937</v>
      </c>
      <c r="B1162" t="s">
        <v>234</v>
      </c>
      <c r="C1162">
        <v>2022</v>
      </c>
      <c r="D1162" t="s">
        <v>394</v>
      </c>
      <c r="E1162" t="s">
        <v>48</v>
      </c>
      <c r="F1162" t="s">
        <v>64</v>
      </c>
      <c r="G1162">
        <v>0</v>
      </c>
      <c r="H1162">
        <v>243</v>
      </c>
      <c r="I1162" s="1">
        <f t="shared" si="18"/>
        <v>0</v>
      </c>
      <c r="J1162" t="s">
        <v>38</v>
      </c>
      <c r="K1162" t="s">
        <v>39</v>
      </c>
      <c r="L1162" t="s">
        <v>394</v>
      </c>
      <c r="M1162" t="s">
        <v>29</v>
      </c>
      <c r="N1162" t="s">
        <v>30</v>
      </c>
    </row>
    <row r="1163" spans="1:14">
      <c r="A1163" t="s">
        <v>937</v>
      </c>
      <c r="B1163" t="s">
        <v>234</v>
      </c>
      <c r="C1163">
        <v>2022</v>
      </c>
      <c r="D1163" t="s">
        <v>22</v>
      </c>
      <c r="E1163" t="s">
        <v>48</v>
      </c>
      <c r="F1163" t="s">
        <v>64</v>
      </c>
      <c r="G1163">
        <v>0</v>
      </c>
      <c r="H1163">
        <v>243</v>
      </c>
      <c r="I1163" s="1">
        <f t="shared" si="18"/>
        <v>0</v>
      </c>
      <c r="J1163" t="s">
        <v>23</v>
      </c>
      <c r="K1163" t="s">
        <v>24</v>
      </c>
      <c r="L1163" t="s">
        <v>22</v>
      </c>
      <c r="M1163" t="s">
        <v>29</v>
      </c>
      <c r="N1163" t="s">
        <v>30</v>
      </c>
    </row>
    <row r="1164" spans="1:14">
      <c r="A1164" t="s">
        <v>937</v>
      </c>
      <c r="B1164" t="s">
        <v>234</v>
      </c>
      <c r="C1164">
        <v>2022</v>
      </c>
      <c r="D1164" t="s">
        <v>15</v>
      </c>
      <c r="E1164" t="s">
        <v>48</v>
      </c>
      <c r="F1164" t="s">
        <v>64</v>
      </c>
      <c r="G1164">
        <v>0</v>
      </c>
      <c r="H1164">
        <v>243</v>
      </c>
      <c r="I1164" s="1">
        <f t="shared" si="18"/>
        <v>0</v>
      </c>
      <c r="J1164" t="s">
        <v>18</v>
      </c>
      <c r="K1164" t="s">
        <v>19</v>
      </c>
      <c r="L1164" t="s">
        <v>15</v>
      </c>
      <c r="M1164" t="s">
        <v>29</v>
      </c>
      <c r="N1164" t="s">
        <v>30</v>
      </c>
    </row>
    <row r="1165" spans="1:14">
      <c r="A1165" t="s">
        <v>938</v>
      </c>
      <c r="B1165" t="s">
        <v>939</v>
      </c>
      <c r="C1165">
        <v>2021</v>
      </c>
      <c r="D1165" t="s">
        <v>905</v>
      </c>
      <c r="E1165" t="s">
        <v>77</v>
      </c>
      <c r="F1165" t="s">
        <v>64</v>
      </c>
      <c r="G1165">
        <v>1</v>
      </c>
      <c r="H1165">
        <v>1</v>
      </c>
      <c r="I1165" s="1">
        <f t="shared" si="18"/>
        <v>1</v>
      </c>
      <c r="J1165" t="s">
        <v>94</v>
      </c>
      <c r="K1165" t="s">
        <v>95</v>
      </c>
      <c r="L1165" t="s">
        <v>905</v>
      </c>
      <c r="M1165" t="s">
        <v>29</v>
      </c>
      <c r="N1165" t="s">
        <v>30</v>
      </c>
    </row>
    <row r="1166" spans="1:14">
      <c r="A1166" t="s">
        <v>938</v>
      </c>
      <c r="B1166" t="s">
        <v>939</v>
      </c>
      <c r="C1166">
        <v>2021</v>
      </c>
      <c r="D1166" t="s">
        <v>249</v>
      </c>
      <c r="E1166" t="s">
        <v>77</v>
      </c>
      <c r="F1166" t="s">
        <v>64</v>
      </c>
      <c r="G1166">
        <v>0</v>
      </c>
      <c r="H1166">
        <v>1</v>
      </c>
      <c r="I1166" s="1">
        <f t="shared" si="18"/>
        <v>0</v>
      </c>
      <c r="J1166" t="s">
        <v>250</v>
      </c>
      <c r="K1166" t="s">
        <v>251</v>
      </c>
      <c r="L1166" t="s">
        <v>249</v>
      </c>
      <c r="M1166" t="s">
        <v>29</v>
      </c>
      <c r="N1166" t="s">
        <v>30</v>
      </c>
    </row>
    <row r="1167" spans="1:14">
      <c r="A1167" t="s">
        <v>938</v>
      </c>
      <c r="B1167" t="s">
        <v>939</v>
      </c>
      <c r="C1167">
        <v>2021</v>
      </c>
      <c r="D1167" t="s">
        <v>106</v>
      </c>
      <c r="E1167" t="s">
        <v>77</v>
      </c>
      <c r="F1167" t="s">
        <v>64</v>
      </c>
      <c r="G1167">
        <v>0</v>
      </c>
      <c r="H1167">
        <v>1</v>
      </c>
      <c r="I1167" s="1">
        <f t="shared" si="18"/>
        <v>0</v>
      </c>
      <c r="J1167" t="s">
        <v>35</v>
      </c>
      <c r="K1167" t="s">
        <v>107</v>
      </c>
      <c r="L1167" t="s">
        <v>106</v>
      </c>
      <c r="M1167" t="s">
        <v>29</v>
      </c>
      <c r="N1167" t="s">
        <v>30</v>
      </c>
    </row>
    <row r="1168" spans="1:14">
      <c r="A1168" t="s">
        <v>938</v>
      </c>
      <c r="B1168" t="s">
        <v>939</v>
      </c>
      <c r="C1168">
        <v>2021</v>
      </c>
      <c r="D1168" t="s">
        <v>79</v>
      </c>
      <c r="E1168" t="s">
        <v>77</v>
      </c>
      <c r="F1168" t="s">
        <v>64</v>
      </c>
      <c r="G1168">
        <v>0</v>
      </c>
      <c r="H1168">
        <v>1</v>
      </c>
      <c r="I1168" s="1">
        <f t="shared" si="18"/>
        <v>0</v>
      </c>
      <c r="J1168" t="s">
        <v>80</v>
      </c>
      <c r="K1168" t="s">
        <v>81</v>
      </c>
      <c r="L1168" t="s">
        <v>79</v>
      </c>
      <c r="M1168" t="s">
        <v>29</v>
      </c>
      <c r="N1168" t="s">
        <v>30</v>
      </c>
    </row>
    <row r="1169" spans="1:14">
      <c r="A1169" t="s">
        <v>938</v>
      </c>
      <c r="B1169" t="s">
        <v>939</v>
      </c>
      <c r="C1169">
        <v>2021</v>
      </c>
      <c r="D1169" t="s">
        <v>83</v>
      </c>
      <c r="E1169" t="s">
        <v>77</v>
      </c>
      <c r="F1169" t="s">
        <v>64</v>
      </c>
      <c r="G1169">
        <v>0</v>
      </c>
      <c r="H1169">
        <v>1</v>
      </c>
      <c r="I1169" s="1">
        <f t="shared" si="18"/>
        <v>0</v>
      </c>
      <c r="J1169" t="s">
        <v>55</v>
      </c>
      <c r="K1169" t="s">
        <v>56</v>
      </c>
      <c r="L1169" t="s">
        <v>83</v>
      </c>
      <c r="M1169" t="s">
        <v>29</v>
      </c>
      <c r="N1169" t="s">
        <v>30</v>
      </c>
    </row>
  </sheetData>
  <autoFilter xmlns:etc="http://www.wps.cn/officeDocument/2017/etCustomData" ref="A1:P116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韦雪敏</cp:lastModifiedBy>
  <dcterms:created xsi:type="dcterms:W3CDTF">2026-02-20T04:35:00Z</dcterms:created>
  <dcterms:modified xsi:type="dcterms:W3CDTF">2026-02-20T08:35:12Z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02549773DFC74F9B9E9251E325B9259D_13</vt:lpwstr>
  </property>
  <property fmtid="{D5CDD505-2E9C-101B-9397-08002B2CF9AE}" pid="3" name="KSOProductBuildVer">
    <vt:lpwstr>2052-12.1.0.24034</vt:lpwstr>
  </property>
  <property fmtid="{D5CDD505-2E9C-101B-9397-08002B2CF9AE}" pid="4" name="CalculationRule">
    <vt:i4>0</vt:i4>
  </property>
</Properties>
</file>